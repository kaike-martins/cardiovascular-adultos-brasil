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2.xml" ContentType="application/vnd.openxmlformats-officedocument.spreadsheetml.pivotTable+xml"/>
  <Override PartName="/xl/tables/table3.xml" ContentType="application/vnd.openxmlformats-officedocument.spreadsheetml.table+xml"/>
  <Override PartName="/xl/pivotTables/pivotTable3.xml" ContentType="application/vnd.openxmlformats-officedocument.spreadsheetml.pivot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4.xml" ContentType="application/vnd.openxmlformats-officedocument.spreadsheetml.pivot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pivotTables/pivotTable5.xml" ContentType="application/vnd.openxmlformats-officedocument.spreadsheetml.pivotTable+xml"/>
  <Override PartName="/xl/tables/table7.xml" ContentType="application/vnd.openxmlformats-officedocument.spreadsheetml.table+xml"/>
  <Override PartName="/xl/queryTables/queryTable6.xml" ContentType="application/vnd.openxmlformats-officedocument.spreadsheetml.queryTable+xml"/>
  <Override PartName="/xl/drawings/drawing2.xml" ContentType="application/vnd.openxmlformats-officedocument.drawing+xml"/>
  <Override PartName="/xl/tables/table8.xml" ContentType="application/vnd.openxmlformats-officedocument.spreadsheetml.table+xml"/>
  <Override PartName="/xl/queryTables/queryTable7.xml" ContentType="application/vnd.openxmlformats-officedocument.spreadsheetml.queryTab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6.xml" ContentType="application/vnd.openxmlformats-officedocument.spreadsheetml.pivotTable+xml"/>
  <Override PartName="/xl/tables/table9.xml" ContentType="application/vnd.openxmlformats-officedocument.spreadsheetml.table+xml"/>
  <Override PartName="/xl/queryTables/queryTable8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eab6ddaeb5a08bb/Área de Trabalho/Trabalho prof Luciana/Cardiovascular_15a65_anos/"/>
    </mc:Choice>
  </mc:AlternateContent>
  <xr:revisionPtr revIDLastSave="4" documentId="13_ncr:1_{67F364C1-7B95-4CD0-9925-2EC88CE6F1B0}" xr6:coauthVersionLast="47" xr6:coauthVersionMax="47" xr10:uidLastSave="{54B7E226-AA4A-40F2-A39C-4485DD6AB9A7}"/>
  <bookViews>
    <workbookView xWindow="-108" yWindow="-108" windowWidth="23256" windowHeight="13176" tabRatio="930" xr2:uid="{9A256F93-6F88-4159-B8F4-D253E0214182}"/>
  </bookViews>
  <sheets>
    <sheet name="Análise Graficos" sheetId="10" r:id="rId1"/>
    <sheet name="cv_sexo_15a64" sheetId="8" r:id="rId2"/>
    <sheet name="cv_regiao_15a64" sheetId="7" r:id="rId3"/>
    <sheet name="pop_regiao_taxa_15a64" sheetId="11" r:id="rId4"/>
    <sheet name="cv_raca_15a64" sheetId="6" r:id="rId5"/>
    <sheet name="cv_local_15a64" sheetId="5" r:id="rId6"/>
    <sheet name="cv_faixaetaria_sexo_15a64" sheetId="4" r:id="rId7"/>
    <sheet name="cv_faixaetaria_ano_15a64" sheetId="3" r:id="rId8"/>
    <sheet name="cv_total_15a64" sheetId="9" r:id="rId9"/>
    <sheet name="cv_cid_15a64 csv" sheetId="2" r:id="rId10"/>
  </sheets>
  <definedNames>
    <definedName name="DadosExternos_1" localSheetId="9" hidden="1">'cv_cid_15a64 csv'!$A$1:$C$827</definedName>
    <definedName name="DadosExternos_2" localSheetId="7" hidden="1">'cv_faixaetaria_ano_15a64'!$A$1:$C$141</definedName>
    <definedName name="DadosExternos_2" localSheetId="8" hidden="1">'cv_total_15a64'!$A$1:$B$15</definedName>
    <definedName name="DadosExternos_3" localSheetId="6" hidden="1">'cv_faixaetaria_sexo_15a64'!$A$1:$C$11</definedName>
    <definedName name="DadosExternos_4" localSheetId="5" hidden="1">'cv_local_15a64'!$A$1:$C$71</definedName>
    <definedName name="DadosExternos_5" localSheetId="4" hidden="1">'cv_raca_15a64'!$A$1:$C$71</definedName>
    <definedName name="DadosExternos_6" localSheetId="2" hidden="1">'cv_regiao_15a64'!$A$1:$C$71</definedName>
    <definedName name="DadosExternos_7" localSheetId="1" hidden="1">'cv_sexo_15a64'!$A$1:$C$29</definedName>
  </definedNames>
  <calcPr calcId="191029"/>
  <pivotCaches>
    <pivotCache cacheId="0" r:id="rId11"/>
    <pivotCache cacheId="1" r:id="rId12"/>
    <pivotCache cacheId="2" r:id="rId13"/>
    <pivotCache cacheId="3" r:id="rId14"/>
    <pivotCache cacheId="4" r:id="rId15"/>
    <pivotCache cacheId="5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6" i="9" l="1"/>
  <c r="I15" i="9"/>
  <c r="I14" i="9"/>
  <c r="I13" i="9"/>
  <c r="E5" i="9"/>
  <c r="E4" i="9"/>
  <c r="E3" i="9"/>
  <c r="E2" i="9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48" i="11"/>
  <c r="F49" i="11"/>
  <c r="F50" i="11"/>
  <c r="F51" i="11"/>
  <c r="F52" i="11"/>
  <c r="F53" i="11"/>
  <c r="F54" i="11"/>
  <c r="F55" i="11"/>
  <c r="F56" i="11"/>
  <c r="F57" i="11"/>
  <c r="F58" i="11"/>
  <c r="F59" i="11"/>
  <c r="F60" i="11"/>
  <c r="F61" i="11"/>
  <c r="F62" i="11"/>
  <c r="F63" i="11"/>
  <c r="F64" i="11"/>
  <c r="F65" i="11"/>
  <c r="F66" i="11"/>
  <c r="F67" i="11"/>
  <c r="F68" i="11"/>
  <c r="F69" i="11"/>
  <c r="F70" i="11"/>
  <c r="F71" i="11"/>
  <c r="F72" i="11"/>
  <c r="F3" i="11"/>
  <c r="E3" i="4"/>
  <c r="E4" i="4"/>
  <c r="E5" i="4"/>
  <c r="E6" i="4"/>
  <c r="E7" i="4"/>
  <c r="E8" i="4"/>
  <c r="E9" i="4"/>
  <c r="E10" i="4"/>
  <c r="E11" i="4"/>
  <c r="E2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09B3715-5231-4448-98E0-0DC102565D82}" keepAlive="1" name="Consulta - cv_cid_15a64 csv" description="Conexão com a consulta 'cv_cid_15a64 csv' na pasta de trabalho." type="5" refreshedVersion="8" background="1" saveData="1">
    <dbPr connection="Provider=Microsoft.Mashup.OleDb.1;Data Source=$Workbook$;Location=&quot;cv_cid_15a64 csv&quot;;Extended Properties=&quot;&quot;" command="SELECT * FROM [cv_cid_15a64 csv]"/>
  </connection>
  <connection id="2" xr16:uid="{320B2B1F-81BA-43ED-B6BF-6988C0CF1254}" keepAlive="1" name="Consulta - cv_faixaetaria_ano_15a64" description="Conexão com a consulta 'cv_faixaetaria_ano_15a64' na pasta de trabalho." type="5" refreshedVersion="8" background="1" saveData="1">
    <dbPr connection="Provider=Microsoft.Mashup.OleDb.1;Data Source=$Workbook$;Location=cv_faixaetaria_ano_15a64;Extended Properties=&quot;&quot;" command="SELECT * FROM [cv_faixaetaria_ano_15a64]"/>
  </connection>
  <connection id="3" xr16:uid="{3910D984-8C4F-4560-9BC0-02A5CF9B96F9}" keepAlive="1" name="Consulta - cv_faixaetaria_sexo_15a64" description="Conexão com a consulta 'cv_faixaetaria_sexo_15a64' na pasta de trabalho." type="5" refreshedVersion="8" background="1" saveData="1">
    <dbPr connection="Provider=Microsoft.Mashup.OleDb.1;Data Source=$Workbook$;Location=cv_faixaetaria_sexo_15a64;Extended Properties=&quot;&quot;" command="SELECT * FROM [cv_faixaetaria_sexo_15a64]"/>
  </connection>
  <connection id="4" xr16:uid="{6069B606-CF30-429F-9B89-BD22FE2C725F}" keepAlive="1" name="Consulta - cv_local_15a64" description="Conexão com a consulta 'cv_local_15a64' na pasta de trabalho." type="5" refreshedVersion="8" background="1" saveData="1">
    <dbPr connection="Provider=Microsoft.Mashup.OleDb.1;Data Source=$Workbook$;Location=cv_local_15a64;Extended Properties=&quot;&quot;" command="SELECT * FROM [cv_local_15a64]"/>
  </connection>
  <connection id="5" xr16:uid="{EFE75A6A-6630-4195-AAD6-3677E36A0DBA}" keepAlive="1" name="Consulta - cv_raca_15a64" description="Conexão com a consulta 'cv_raca_15a64' na pasta de trabalho." type="5" refreshedVersion="8" background="1" saveData="1">
    <dbPr connection="Provider=Microsoft.Mashup.OleDb.1;Data Source=$Workbook$;Location=cv_raca_15a64;Extended Properties=&quot;&quot;" command="SELECT * FROM [cv_raca_15a64]"/>
  </connection>
  <connection id="6" xr16:uid="{3329B657-7473-4816-A670-CAA60657DEB6}" keepAlive="1" name="Consulta - cv_regiao_15a64" description="Conexão com a consulta 'cv_regiao_15a64' na pasta de trabalho." type="5" refreshedVersion="8" background="1" saveData="1">
    <dbPr connection="Provider=Microsoft.Mashup.OleDb.1;Data Source=$Workbook$;Location=cv_regiao_15a64;Extended Properties=&quot;&quot;" command="SELECT * FROM [cv_regiao_15a64]"/>
  </connection>
  <connection id="7" xr16:uid="{6135BB09-E41D-433A-AC4D-E50968F7B02A}" keepAlive="1" name="Consulta - cv_sexo_15a64" description="Conexão com a consulta 'cv_sexo_15a64' na pasta de trabalho." type="5" refreshedVersion="8" background="1" saveData="1">
    <dbPr connection="Provider=Microsoft.Mashup.OleDb.1;Data Source=$Workbook$;Location=cv_sexo_15a64;Extended Properties=&quot;&quot;" command="SELECT * FROM [cv_sexo_15a64]"/>
  </connection>
  <connection id="8" xr16:uid="{117AED0E-F442-4B25-9A39-8E5925339F2B}" keepAlive="1" name="Consulta - cv_total_15a64" description="Conexão com a consulta 'cv_total_15a64' na pasta de trabalho." type="5" refreshedVersion="8" background="1" saveData="1">
    <dbPr connection="Provider=Microsoft.Mashup.OleDb.1;Data Source=$Workbook$;Location=cv_total_15a64;Extended Properties=&quot;&quot;" command="SELECT * FROM [cv_total_15a64]"/>
  </connection>
</connections>
</file>

<file path=xl/sharedStrings.xml><?xml version="1.0" encoding="utf-8"?>
<sst xmlns="http://schemas.openxmlformats.org/spreadsheetml/2006/main" count="2805" uniqueCount="171">
  <si>
    <t>Categoria CID-10</t>
  </si>
  <si>
    <t>I21   Infarto agudo do miocardio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</si>
  <si>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</si>
  <si>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</si>
  <si>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</si>
  <si>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</si>
  <si>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</si>
  <si>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</si>
  <si>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</si>
  <si>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</si>
  <si>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</si>
  <si>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</si>
  <si>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</si>
  <si>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</si>
  <si>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</si>
  <si>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</si>
  <si>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I10   Hipertensao essencial</t>
  </si>
  <si>
    <t>I50   Insuf cardiaca</t>
  </si>
  <si>
    <t>I42   Cardiomiopatias</t>
  </si>
  <si>
    <t>I25   Doenc isquemica cronica do coracao</t>
  </si>
  <si>
    <t>I11   Doenc cardiaca hipertensiva</t>
  </si>
  <si>
    <t>I26   Embolia pulmonar</t>
  </si>
  <si>
    <t>I51   Complic cardiopatias doenc cardiacas mal def</t>
  </si>
  <si>
    <t>I12   Doenc renal hipertensiva</t>
  </si>
  <si>
    <t>I49   Outr arritmias cardiacas</t>
  </si>
  <si>
    <t>I24   Outr doenc isquemicas agudas do coracao</t>
  </si>
  <si>
    <t>I80   Flebite e tromboflebite</t>
  </si>
  <si>
    <t>I05   Doenc reumaticas da valva mitral</t>
  </si>
  <si>
    <t>I35   Transt nao-reumaticos da valva aortica</t>
  </si>
  <si>
    <t>I46   Parada cardiaca</t>
  </si>
  <si>
    <t>I13   Doenc cardiaca e renal hipertensiva</t>
  </si>
  <si>
    <t>I48   Flutter e fibrilacao atrial</t>
  </si>
  <si>
    <t>I33   Endocardite aguda e subaguda</t>
  </si>
  <si>
    <t>I27   Outr form de doenc cardiaca pulmonar</t>
  </si>
  <si>
    <t>I62   Outr hemorragias intracranianas nao-traum</t>
  </si>
  <si>
    <t>I38   Endocardite de valva NE</t>
  </si>
  <si>
    <t>I34   Transt nao-reumaticos da valva mitral</t>
  </si>
  <si>
    <t>I73   Outr doenc vasculares perifericas</t>
  </si>
  <si>
    <t>I74   Embolia e trombose arteriais</t>
  </si>
  <si>
    <t>I85   Varizes esofagianas</t>
  </si>
  <si>
    <t>I08   Doenc de mult valvas</t>
  </si>
  <si>
    <t>I31   Outr doenc do pericardio</t>
  </si>
  <si>
    <t>I72   Outr aneurismas</t>
  </si>
  <si>
    <t>I20   Angina pectoris</t>
  </si>
  <si>
    <t>I77   Outr afeccoes das arterias e arteriolas</t>
  </si>
  <si>
    <t>I82   Outr embolia e trombose venosas</t>
  </si>
  <si>
    <t>I09   Outr doenc reumaticas do coracao</t>
  </si>
  <si>
    <t>I70   Aterosclerose</t>
  </si>
  <si>
    <t>I47   Taquicardia paroxistica</t>
  </si>
  <si>
    <t>I44   Bloqueio atrioventricular e do ramo esquerdo</t>
  </si>
  <si>
    <t>I83   Varizes dos membros infer</t>
  </si>
  <si>
    <t>I87   Outr transt das veias</t>
  </si>
  <si>
    <t>I22   Infarto do miocardio recorrente</t>
  </si>
  <si>
    <t>I40   Miocardite aguda</t>
  </si>
  <si>
    <t>I01   Febre reumatica c/compr do coracao</t>
  </si>
  <si>
    <t>I95   Hipotensao</t>
  </si>
  <si>
    <t>I89   Outr transt nao-infecc vasos linf gangl linf</t>
  </si>
  <si>
    <t>I30   Pericardite aguda</t>
  </si>
  <si>
    <t>I06   Doenc reumaticas da valva aortica</t>
  </si>
  <si>
    <t>I81   Trombose da veia porta</t>
  </si>
  <si>
    <t>I07   Doenc reumaticas da valva tricuspide</t>
  </si>
  <si>
    <t>I99   Outr transt do aparelho circulatorio e os NE</t>
  </si>
  <si>
    <t>I00   Febre reumatica s/mencao de compr do coracao</t>
  </si>
  <si>
    <t>I28   Outr doenc dos vasos pulmonares</t>
  </si>
  <si>
    <t>I45   Outr transt de conducao</t>
  </si>
  <si>
    <t>I86   Varizes de outr localiz</t>
  </si>
  <si>
    <t>I36   Transt nao-reumaticos da valva tricuspide</t>
  </si>
  <si>
    <t>I84   Hemorroidas</t>
  </si>
  <si>
    <t>I37   Transt da valva pulmonar</t>
  </si>
  <si>
    <t>I78   Doenc dos capilares</t>
  </si>
  <si>
    <t>I88   Linfadenite inespecifica</t>
  </si>
  <si>
    <t>I02   Coreia reumatica</t>
  </si>
  <si>
    <t>I15   Hipertensao secund</t>
  </si>
  <si>
    <t>I97   Transt aparelho circulat subseq proced NCOP</t>
  </si>
  <si>
    <t>Faixa Etária</t>
  </si>
  <si>
    <t>15 a 19 anos</t>
  </si>
  <si>
    <t>20 a 24 anos</t>
  </si>
  <si>
    <t>25 a 29 anos</t>
  </si>
  <si>
    <t>30 a 34 anos</t>
  </si>
  <si>
    <t>35 a 39 anos</t>
  </si>
  <si>
    <t>40 a 44 anos</t>
  </si>
  <si>
    <t>45 a 49 anos</t>
  </si>
  <si>
    <t>50 a 54 anos</t>
  </si>
  <si>
    <t>55 a 59 anos</t>
  </si>
  <si>
    <t>60 a 64 anos</t>
  </si>
  <si>
    <t>Masc</t>
  </si>
  <si>
    <t>Fem</t>
  </si>
  <si>
    <t>Local ocorrência</t>
  </si>
  <si>
    <t>Hospital</t>
  </si>
  <si>
    <t>Outro estabelecimento de saúde</t>
  </si>
  <si>
    <t>Domicílio</t>
  </si>
  <si>
    <t>Via pública</t>
  </si>
  <si>
    <t>Outros</t>
  </si>
  <si>
    <t>Cor/raça</t>
  </si>
  <si>
    <t>Branca</t>
  </si>
  <si>
    <t>Preta</t>
  </si>
  <si>
    <t>Amarela</t>
  </si>
  <si>
    <t>Parda</t>
  </si>
  <si>
    <t>Indígena</t>
  </si>
  <si>
    <t>Região</t>
  </si>
  <si>
    <t>Sexo</t>
  </si>
  <si>
    <t>Ano</t>
  </si>
  <si>
    <t>Obitos</t>
  </si>
  <si>
    <t>Rótulos de Linha</t>
  </si>
  <si>
    <t>Total Geral</t>
  </si>
  <si>
    <t>Soma de Obitos</t>
  </si>
  <si>
    <t>Faixa</t>
  </si>
  <si>
    <t>Total</t>
  </si>
  <si>
    <t>%</t>
  </si>
  <si>
    <t>15-19 anos</t>
  </si>
  <si>
    <t>20-24 anos</t>
  </si>
  <si>
    <t>25-29 anos</t>
  </si>
  <si>
    <t>30-34 anos</t>
  </si>
  <si>
    <t>35-39 anos</t>
  </si>
  <si>
    <t>40-44 anos</t>
  </si>
  <si>
    <t>45-49 anos</t>
  </si>
  <si>
    <t>50-54 anos</t>
  </si>
  <si>
    <t>55-59 anos</t>
  </si>
  <si>
    <t>60-64 anos</t>
  </si>
  <si>
    <t>Masc. %</t>
  </si>
  <si>
    <t>Fem. %</t>
  </si>
  <si>
    <t>Raça/Cor</t>
  </si>
  <si>
    <t>Regiao</t>
  </si>
  <si>
    <t>Taxa_100k</t>
  </si>
  <si>
    <t>Populacao</t>
  </si>
  <si>
    <t>Região Norte</t>
  </si>
  <si>
    <t>Região Nordeste</t>
  </si>
  <si>
    <t>Região Sudeste</t>
  </si>
  <si>
    <t>Região Sul</t>
  </si>
  <si>
    <t>Região Centro-Oeste</t>
  </si>
  <si>
    <t>Rótulos de Coluna</t>
  </si>
  <si>
    <t>Soma de Taxa_100k</t>
  </si>
  <si>
    <t>Risco</t>
  </si>
  <si>
    <t>Sudeste</t>
  </si>
  <si>
    <t>Maior</t>
  </si>
  <si>
    <t>Sul</t>
  </si>
  <si>
    <t>Alto</t>
  </si>
  <si>
    <t>Centro-Oeste</t>
  </si>
  <si>
    <t>Nordeste</t>
  </si>
  <si>
    <t>Intermediário</t>
  </si>
  <si>
    <t>Norte</t>
  </si>
  <si>
    <t>Menor</t>
  </si>
  <si>
    <t>Taxa Média ( Por 100 mil hab.)</t>
  </si>
  <si>
    <t>CID</t>
  </si>
  <si>
    <t>Causa</t>
  </si>
  <si>
    <t>I21</t>
  </si>
  <si>
    <t>Infarto agudo do miocárdio</t>
  </si>
  <si>
    <t>I10</t>
  </si>
  <si>
    <t>Hipertensão essencial</t>
  </si>
  <si>
    <t>I50</t>
  </si>
  <si>
    <t>Insuficiência cardíaca</t>
  </si>
  <si>
    <t>I42</t>
  </si>
  <si>
    <t>Cardiomiopatias</t>
  </si>
  <si>
    <t>I25</t>
  </si>
  <si>
    <t>Doença isquêmica crônica</t>
  </si>
  <si>
    <t>I11</t>
  </si>
  <si>
    <t>D. cardíaca hipertensiva</t>
  </si>
  <si>
    <t>I26</t>
  </si>
  <si>
    <t>Embolia pulmonar</t>
  </si>
  <si>
    <t>I51</t>
  </si>
  <si>
    <t>Cardiopatias mal definidas</t>
  </si>
  <si>
    <t>I12</t>
  </si>
  <si>
    <t>D. renal hipertensiva</t>
  </si>
  <si>
    <t>I49</t>
  </si>
  <si>
    <t>Outras arritmias cardíacas</t>
  </si>
  <si>
    <t>Local</t>
  </si>
  <si>
    <t>Outro estab. saúde</t>
  </si>
  <si>
    <t>Real</t>
  </si>
  <si>
    <t>Projetado</t>
  </si>
  <si>
    <t>Esperado</t>
  </si>
  <si>
    <t>Diferença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</si>
</sst>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theme="9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3" fontId="0" fillId="2" borderId="1" xfId="0" applyNumberFormat="1" applyFill="1" applyBorder="1" applyAlignment="1">
      <alignment vertical="center"/>
    </xf>
    <xf numFmtId="10" fontId="0" fillId="2" borderId="1" xfId="0" applyNumberFormat="1" applyFill="1" applyBorder="1" applyAlignment="1">
      <alignment vertical="center"/>
    </xf>
    <xf numFmtId="164" fontId="0" fillId="0" borderId="0" xfId="1" applyNumberFormat="1" applyFont="1"/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10" fontId="0" fillId="2" borderId="1" xfId="0" applyNumberFormat="1" applyFill="1" applyBorder="1" applyAlignment="1">
      <alignment vertical="center" wrapText="1"/>
    </xf>
    <xf numFmtId="3" fontId="0" fillId="2" borderId="1" xfId="0" applyNumberFormat="1" applyFill="1" applyBorder="1" applyAlignment="1">
      <alignment vertical="center" wrapText="1"/>
    </xf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2" fontId="0" fillId="0" borderId="0" xfId="0" applyNumberFormat="1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2" borderId="1" xfId="0" applyFill="1" applyBorder="1" applyAlignment="1">
      <alignment horizontal="center" vertical="center"/>
    </xf>
    <xf numFmtId="3" fontId="0" fillId="2" borderId="1" xfId="0" applyNumberFormat="1" applyFill="1" applyBorder="1" applyAlignment="1">
      <alignment horizontal="center" vertical="center" wrapText="1"/>
    </xf>
    <xf numFmtId="10" fontId="0" fillId="2" borderId="1" xfId="0" applyNumberFormat="1" applyFill="1" applyBorder="1" applyAlignment="1">
      <alignment horizontal="center" vertical="center" wrapText="1"/>
    </xf>
    <xf numFmtId="1" fontId="0" fillId="0" borderId="0" xfId="0" applyNumberFormat="1"/>
    <xf numFmtId="3" fontId="2" fillId="2" borderId="1" xfId="0" applyNumberFormat="1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</cellXfs>
  <cellStyles count="2">
    <cellStyle name="Normal" xfId="0" builtinId="0"/>
    <cellStyle name="Porcentagem" xfId="1" builtinId="5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C9559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4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1" i="0" u="none" strike="noStrike" baseline="0">
                <a:solidFill>
                  <a:sysClr val="windowText" lastClr="000000"/>
                </a:solidFill>
              </a:rPr>
              <a:t>Óbitos Cardiovasculares em Adultos de 15-64 Anos — Brasil, 2010-2023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'cv_total_15a64'!$B$1</c:f>
              <c:strCache>
                <c:ptCount val="1"/>
                <c:pt idx="0">
                  <c:v>Obitos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19050">
                <a:solidFill>
                  <a:schemeClr val="tx1"/>
                </a:solidFill>
              </a:ln>
              <a:effectLst/>
            </c:spPr>
          </c:marker>
          <c:dLbls>
            <c:dLbl>
              <c:idx val="2"/>
              <c:layout>
                <c:manualLayout>
                  <c:x val="-5.5333419388150291E-2"/>
                  <c:y val="4.697646577988710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2CC-419E-9EB3-DCBCA79E9E17}"/>
                </c:ext>
              </c:extLst>
            </c:dLbl>
            <c:dLbl>
              <c:idx val="5"/>
              <c:layout>
                <c:manualLayout>
                  <c:x val="-7.2819758185964464E-2"/>
                  <c:y val="-9.199071146817831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2CC-419E-9EB3-DCBCA79E9E17}"/>
                </c:ext>
              </c:extLst>
            </c:dLbl>
            <c:dLbl>
              <c:idx val="7"/>
              <c:layout>
                <c:manualLayout>
                  <c:x val="-3.128970354115572E-2"/>
                  <c:y val="-7.321136319141272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2CC-419E-9EB3-DCBCA79E9E17}"/>
                </c:ext>
              </c:extLst>
            </c:dLbl>
            <c:dLbl>
              <c:idx val="8"/>
              <c:layout>
                <c:manualLayout>
                  <c:x val="-5.533341938815025E-2"/>
                  <c:y val="5.8244074745946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2CC-419E-9EB3-DCBCA79E9E17}"/>
                </c:ext>
              </c:extLst>
            </c:dLbl>
            <c:dLbl>
              <c:idx val="9"/>
              <c:layout>
                <c:manualLayout>
                  <c:x val="-3.5661288240609351E-2"/>
                  <c:y val="-4.69202756039409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2CC-419E-9EB3-DCBCA79E9E17}"/>
                </c:ext>
              </c:extLst>
            </c:dLbl>
            <c:dLbl>
              <c:idx val="10"/>
              <c:layout>
                <c:manualLayout>
                  <c:x val="-5.0349812830773361E-2"/>
                  <c:y val="6.575581405665270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2CC-419E-9EB3-DCBCA79E9E17}"/>
                </c:ext>
              </c:extLst>
            </c:dLbl>
            <c:dLbl>
              <c:idx val="11"/>
              <c:layout>
                <c:manualLayout>
                  <c:x val="-8.1562927584871561E-2"/>
                  <c:y val="-6.94554935360596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2CC-419E-9EB3-DCBCA79E9E17}"/>
                </c:ext>
              </c:extLst>
            </c:dLbl>
            <c:dLbl>
              <c:idx val="13"/>
              <c:layout>
                <c:manualLayout>
                  <c:x val="-3.5497611978830513E-3"/>
                  <c:y val="-8.072310250211896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2CC-419E-9EB3-DCBCA79E9E17}"/>
                </c:ext>
              </c:extLst>
            </c:dLbl>
            <c:numFmt formatCode="#,##0;[Red]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'cv_total_15a64'!$A$2:$A$15</c:f>
              <c:numCache>
                <c:formatCode>General</c:formatCode>
                <c:ptCount val="1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</c:numCache>
            </c:numRef>
          </c:cat>
          <c:val>
            <c:numRef>
              <c:f>'cv_total_15a64'!$B$2:$B$15</c:f>
              <c:numCache>
                <c:formatCode>General</c:formatCode>
                <c:ptCount val="14"/>
                <c:pt idx="0">
                  <c:v>99825</c:v>
                </c:pt>
                <c:pt idx="1">
                  <c:v>102056</c:v>
                </c:pt>
                <c:pt idx="2">
                  <c:v>100585</c:v>
                </c:pt>
                <c:pt idx="3">
                  <c:v>101473</c:v>
                </c:pt>
                <c:pt idx="4">
                  <c:v>100704</c:v>
                </c:pt>
                <c:pt idx="5">
                  <c:v>102227</c:v>
                </c:pt>
                <c:pt idx="6">
                  <c:v>105672</c:v>
                </c:pt>
                <c:pt idx="7">
                  <c:v>102342</c:v>
                </c:pt>
                <c:pt idx="8">
                  <c:v>101886</c:v>
                </c:pt>
                <c:pt idx="9">
                  <c:v>102164</c:v>
                </c:pt>
                <c:pt idx="10">
                  <c:v>98803</c:v>
                </c:pt>
                <c:pt idx="11">
                  <c:v>104639</c:v>
                </c:pt>
                <c:pt idx="12">
                  <c:v>108133</c:v>
                </c:pt>
                <c:pt idx="13">
                  <c:v>106182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CC-419E-9EB3-DCBCA79E9E1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07453920"/>
        <c:axId val="1107455840"/>
      </c:lineChart>
      <c:catAx>
        <c:axId val="1107453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07455840"/>
        <c:crosses val="autoZero"/>
        <c:auto val="1"/>
        <c:lblAlgn val="ctr"/>
        <c:lblOffset val="100"/>
        <c:noMultiLvlLbl val="0"/>
      </c:catAx>
      <c:valAx>
        <c:axId val="1107455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07453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>
        <a:lumMod val="9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[Cardiovascular_adultos_15a64_anos ANALISE (1).xlsx]cv_faixaetaria_ano_15a64!Tabela dinâmica2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1" i="0" u="none" strike="noStrike" baseline="0">
                <a:solidFill>
                  <a:sysClr val="windowText" lastClr="000000"/>
                </a:solidFill>
              </a:rPr>
              <a:t>Óbitos Cardiovasculares por Faixa Etária — Brasil, 2010-2023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;[Red]#,##0" sourceLinked="0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'cv_faixaetaria_ano_15a64'!$O$7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;[Red]#,##0" sourceLinked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'cv_faixaetaria_ano_15a64'!$N$8:$N$18</c:f>
              <c:strCache>
                <c:ptCount val="10"/>
                <c:pt idx="0">
                  <c:v>15 a 19 anos</c:v>
                </c:pt>
                <c:pt idx="1">
                  <c:v>20 a 24 anos</c:v>
                </c:pt>
                <c:pt idx="2">
                  <c:v>25 a 29 anos</c:v>
                </c:pt>
                <c:pt idx="3">
                  <c:v>30 a 34 anos</c:v>
                </c:pt>
                <c:pt idx="4">
                  <c:v>35 a 39 anos</c:v>
                </c:pt>
                <c:pt idx="5">
                  <c:v>40 a 44 anos</c:v>
                </c:pt>
                <c:pt idx="6">
                  <c:v>45 a 49 anos</c:v>
                </c:pt>
                <c:pt idx="7">
                  <c:v>50 a 54 anos</c:v>
                </c:pt>
                <c:pt idx="8">
                  <c:v>55 a 59 anos</c:v>
                </c:pt>
                <c:pt idx="9">
                  <c:v>60 a 64 anos</c:v>
                </c:pt>
              </c:strCache>
            </c:strRef>
          </c:cat>
          <c:val>
            <c:numRef>
              <c:f>'cv_faixaetaria_ano_15a64'!$O$8:$O$18</c:f>
              <c:numCache>
                <c:formatCode>General</c:formatCode>
                <c:ptCount val="10"/>
                <c:pt idx="0">
                  <c:v>8546</c:v>
                </c:pt>
                <c:pt idx="1">
                  <c:v>13989</c:v>
                </c:pt>
                <c:pt idx="2">
                  <c:v>21556</c:v>
                </c:pt>
                <c:pt idx="3">
                  <c:v>36346</c:v>
                </c:pt>
                <c:pt idx="4">
                  <c:v>62175</c:v>
                </c:pt>
                <c:pt idx="5">
                  <c:v>104817</c:v>
                </c:pt>
                <c:pt idx="6">
                  <c:v>165361</c:v>
                </c:pt>
                <c:pt idx="7">
                  <c:v>245778</c:v>
                </c:pt>
                <c:pt idx="8">
                  <c:v>338204</c:v>
                </c:pt>
                <c:pt idx="9">
                  <c:v>439919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9B-4211-9D8C-458DA2D702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6417312"/>
        <c:axId val="256440832"/>
      </c:barChart>
      <c:catAx>
        <c:axId val="256417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56440832"/>
        <c:crosses val="autoZero"/>
        <c:auto val="1"/>
        <c:lblAlgn val="ctr"/>
        <c:lblOffset val="100"/>
        <c:noMultiLvlLbl val="0"/>
      </c:catAx>
      <c:valAx>
        <c:axId val="25644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;[Red]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56417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noFill/>
      <a:round/>
    </a:ln>
    <a:effectLst/>
  </c:spPr>
  <c:txPr>
    <a:bodyPr/>
    <a:lstStyle/>
    <a:p>
      <a:pPr>
        <a:defRPr>
          <a:ln>
            <a:noFill/>
          </a:ln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 sz="1200" b="0" i="0" u="none" strike="noStrike" baseline="0"/>
              <a:t>Distribuição de Óbitos Cardiovasculares por Sexo e Faixa Etária — Brasil, 2010-2023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ln>
                <a:noFill/>
              </a:ln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'cv_faixaetaria_sexo_15a64'!$B$1</c:f>
              <c:strCache>
                <c:ptCount val="1"/>
                <c:pt idx="0">
                  <c:v>Masc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;[Red]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ln>
                      <a:noFill/>
                    </a:ln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'cv_faixaetaria_sexo_15a64'!$A$2:$A$11</c:f>
              <c:strCache>
                <c:ptCount val="10"/>
                <c:pt idx="0">
                  <c:v>15 a 19 anos</c:v>
                </c:pt>
                <c:pt idx="1">
                  <c:v>20 a 24 anos</c:v>
                </c:pt>
                <c:pt idx="2">
                  <c:v>25 a 29 anos</c:v>
                </c:pt>
                <c:pt idx="3">
                  <c:v>30 a 34 anos</c:v>
                </c:pt>
                <c:pt idx="4">
                  <c:v>35 a 39 anos</c:v>
                </c:pt>
                <c:pt idx="5">
                  <c:v>40 a 44 anos</c:v>
                </c:pt>
                <c:pt idx="6">
                  <c:v>45 a 49 anos</c:v>
                </c:pt>
                <c:pt idx="7">
                  <c:v>50 a 54 anos</c:v>
                </c:pt>
                <c:pt idx="8">
                  <c:v>55 a 59 anos</c:v>
                </c:pt>
                <c:pt idx="9">
                  <c:v>60 a 64 anos</c:v>
                </c:pt>
              </c:strCache>
            </c:strRef>
          </c:cat>
          <c:val>
            <c:numRef>
              <c:f>'cv_faixaetaria_sexo_15a64'!$B$2:$B$11</c:f>
              <c:numCache>
                <c:formatCode>General</c:formatCode>
                <c:ptCount val="10"/>
                <c:pt idx="0">
                  <c:v>5418</c:v>
                </c:pt>
                <c:pt idx="1">
                  <c:v>8853</c:v>
                </c:pt>
                <c:pt idx="2">
                  <c:v>13538</c:v>
                </c:pt>
                <c:pt idx="3">
                  <c:v>22585</c:v>
                </c:pt>
                <c:pt idx="4">
                  <c:v>37877</c:v>
                </c:pt>
                <c:pt idx="5">
                  <c:v>63170</c:v>
                </c:pt>
                <c:pt idx="6">
                  <c:v>100479</c:v>
                </c:pt>
                <c:pt idx="7">
                  <c:v>154255</c:v>
                </c:pt>
                <c:pt idx="8">
                  <c:v>213284</c:v>
                </c:pt>
                <c:pt idx="9">
                  <c:v>271389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48-41B4-B6A4-45A2070B886B}"/>
            </c:ext>
          </c:extLst>
        </c:ser>
        <c:ser>
          <c:idx val="1"/>
          <c:order val="1"/>
          <c:tx>
            <c:strRef>
              <c:f>'cv_faixaetaria_sexo_15a64'!$C$1</c:f>
              <c:strCache>
                <c:ptCount val="1"/>
                <c:pt idx="0">
                  <c:v>Fem</c:v>
                </c:pt>
              </c:strCache>
            </c:strRef>
          </c:tx>
          <c:spPr>
            <a:solidFill>
              <a:srgbClr val="C95597"/>
            </a:solidFill>
            <a:ln>
              <a:noFill/>
            </a:ln>
            <a:effectLst/>
          </c:spPr>
          <c:invertIfNegative val="0"/>
          <c:dLbls>
            <c:numFmt formatCode="#,##0;[Red]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ln>
                      <a:noFill/>
                    </a:ln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'cv_faixaetaria_sexo_15a64'!$A$2:$A$11</c:f>
              <c:strCache>
                <c:ptCount val="10"/>
                <c:pt idx="0">
                  <c:v>15 a 19 anos</c:v>
                </c:pt>
                <c:pt idx="1">
                  <c:v>20 a 24 anos</c:v>
                </c:pt>
                <c:pt idx="2">
                  <c:v>25 a 29 anos</c:v>
                </c:pt>
                <c:pt idx="3">
                  <c:v>30 a 34 anos</c:v>
                </c:pt>
                <c:pt idx="4">
                  <c:v>35 a 39 anos</c:v>
                </c:pt>
                <c:pt idx="5">
                  <c:v>40 a 44 anos</c:v>
                </c:pt>
                <c:pt idx="6">
                  <c:v>45 a 49 anos</c:v>
                </c:pt>
                <c:pt idx="7">
                  <c:v>50 a 54 anos</c:v>
                </c:pt>
                <c:pt idx="8">
                  <c:v>55 a 59 anos</c:v>
                </c:pt>
                <c:pt idx="9">
                  <c:v>60 a 64 anos</c:v>
                </c:pt>
              </c:strCache>
            </c:strRef>
          </c:cat>
          <c:val>
            <c:numRef>
              <c:f>'cv_faixaetaria_sexo_15a64'!$C$2:$C$11</c:f>
              <c:numCache>
                <c:formatCode>General</c:formatCode>
                <c:ptCount val="10"/>
                <c:pt idx="0">
                  <c:v>3128</c:v>
                </c:pt>
                <c:pt idx="1">
                  <c:v>5135</c:v>
                </c:pt>
                <c:pt idx="2">
                  <c:v>8017</c:v>
                </c:pt>
                <c:pt idx="3">
                  <c:v>13756</c:v>
                </c:pt>
                <c:pt idx="4">
                  <c:v>24292</c:v>
                </c:pt>
                <c:pt idx="5">
                  <c:v>41639</c:v>
                </c:pt>
                <c:pt idx="6">
                  <c:v>64874</c:v>
                </c:pt>
                <c:pt idx="7">
                  <c:v>91499</c:v>
                </c:pt>
                <c:pt idx="8">
                  <c:v>124899</c:v>
                </c:pt>
                <c:pt idx="9">
                  <c:v>168503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48-41B4-B6A4-45A2070B886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56411072"/>
        <c:axId val="256400512"/>
      </c:barChart>
      <c:catAx>
        <c:axId val="2564110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56400512"/>
        <c:crosses val="autoZero"/>
        <c:auto val="1"/>
        <c:lblAlgn val="ctr"/>
        <c:lblOffset val="100"/>
        <c:noMultiLvlLbl val="0"/>
      </c:catAx>
      <c:valAx>
        <c:axId val="256400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56411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ln>
                <a:noFill/>
              </a:ln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noFill/>
      <a:round/>
    </a:ln>
    <a:effectLst/>
  </c:spPr>
  <c:txPr>
    <a:bodyPr/>
    <a:lstStyle/>
    <a:p>
      <a:pPr>
        <a:defRPr lang="en-US" sz="1000" b="0" i="0" u="none" strike="noStrike" kern="1200" baseline="0">
          <a:ln>
            <a:noFill/>
          </a:ln>
          <a:solidFill>
            <a:schemeClr val="tx1"/>
          </a:solidFill>
          <a:latin typeface="+mn-lt"/>
          <a:ea typeface="+mn-ea"/>
          <a:cs typeface="+mn-cs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[Cardiovascular_adultos_15a64_anos ANALISE (1).xlsx]cv_raca_15a64!Tabela dinâmica7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baseline="0"/>
              <a:t>Óbitos Cardiovasculares por Raça/Cor — Brasil, 2010-2023 (valores absolutos)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;[Red]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'cv_raca_15a64'!$O$6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;[Red]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'cv_raca_15a64'!$N$7:$N$12</c:f>
              <c:strCache>
                <c:ptCount val="5"/>
                <c:pt idx="0">
                  <c:v>Indígena</c:v>
                </c:pt>
                <c:pt idx="1">
                  <c:v>Amarela</c:v>
                </c:pt>
                <c:pt idx="2">
                  <c:v>Preta</c:v>
                </c:pt>
                <c:pt idx="3">
                  <c:v>Parda</c:v>
                </c:pt>
                <c:pt idx="4">
                  <c:v>Branca</c:v>
                </c:pt>
              </c:strCache>
            </c:strRef>
          </c:cat>
          <c:val>
            <c:numRef>
              <c:f>'cv_raca_15a64'!$O$7:$O$12</c:f>
              <c:numCache>
                <c:formatCode>General</c:formatCode>
                <c:ptCount val="5"/>
                <c:pt idx="0">
                  <c:v>2863</c:v>
                </c:pt>
                <c:pt idx="1">
                  <c:v>5292</c:v>
                </c:pt>
                <c:pt idx="2">
                  <c:v>160676</c:v>
                </c:pt>
                <c:pt idx="3">
                  <c:v>593568</c:v>
                </c:pt>
                <c:pt idx="4">
                  <c:v>626464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AE-41DE-B61A-AFE476747EA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56452352"/>
        <c:axId val="256468672"/>
      </c:barChart>
      <c:catAx>
        <c:axId val="25645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56468672"/>
        <c:crosses val="autoZero"/>
        <c:auto val="1"/>
        <c:lblAlgn val="ctr"/>
        <c:lblOffset val="100"/>
        <c:noMultiLvlLbl val="0"/>
      </c:catAx>
      <c:valAx>
        <c:axId val="256468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;[Red]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5645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[Cardiovascular_adultos_15a64_anos ANALISE (1).xlsx]pop_regiao_taxa_15a64!Tabela dinâmica2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baseline="0"/>
              <a:t>Taxa de Mortalidade Cardiovascular por Região — Brasil, 2010-2023 (por 100 mil habitantes, faixa 15-64 anos)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pop_regiao_taxa_15a64!$K$5:$K$6</c:f>
              <c:strCache>
                <c:ptCount val="1"/>
                <c:pt idx="0">
                  <c:v>Região Centro-Oeste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pop_regiao_taxa_15a64!$J$7:$J$21</c:f>
              <c:strCache>
                <c:ptCount val="1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</c:strCache>
            </c:strRef>
          </c:cat>
          <c:val>
            <c:numRef>
              <c:f>pop_regiao_taxa_15a64!$K$7:$K$21</c:f>
              <c:numCache>
                <c:formatCode>0.00</c:formatCode>
                <c:ptCount val="14"/>
                <c:pt idx="0">
                  <c:v>72.33689702832126</c:v>
                </c:pt>
                <c:pt idx="1">
                  <c:v>71.479225664451434</c:v>
                </c:pt>
                <c:pt idx="2">
                  <c:v>71.221680170342481</c:v>
                </c:pt>
                <c:pt idx="3">
                  <c:v>71.217061394934547</c:v>
                </c:pt>
                <c:pt idx="4">
                  <c:v>67.966145165427037</c:v>
                </c:pt>
                <c:pt idx="5">
                  <c:v>66.635311040625425</c:v>
                </c:pt>
                <c:pt idx="6">
                  <c:v>65.87299555745328</c:v>
                </c:pt>
                <c:pt idx="7">
                  <c:v>65.700763375181978</c:v>
                </c:pt>
                <c:pt idx="8">
                  <c:v>65.697680378752338</c:v>
                </c:pt>
                <c:pt idx="9">
                  <c:v>63.022455721487532</c:v>
                </c:pt>
                <c:pt idx="10">
                  <c:v>64.031393411279169</c:v>
                </c:pt>
                <c:pt idx="11">
                  <c:v>69.971657298580453</c:v>
                </c:pt>
                <c:pt idx="12">
                  <c:v>69.265779359558081</c:v>
                </c:pt>
                <c:pt idx="13">
                  <c:v>66.137017985669033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BA-4BBA-A665-647003270E42}"/>
            </c:ext>
          </c:extLst>
        </c:ser>
        <c:ser>
          <c:idx val="1"/>
          <c:order val="1"/>
          <c:tx>
            <c:strRef>
              <c:f>pop_regiao_taxa_15a64!$L$5:$L$6</c:f>
              <c:strCache>
                <c:ptCount val="1"/>
                <c:pt idx="0">
                  <c:v>Região Nordeste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pop_regiao_taxa_15a64!$J$7:$J$21</c:f>
              <c:strCache>
                <c:ptCount val="1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</c:strCache>
            </c:strRef>
          </c:cat>
          <c:val>
            <c:numRef>
              <c:f>pop_regiao_taxa_15a64!$L$7:$L$21</c:f>
              <c:numCache>
                <c:formatCode>0.00</c:formatCode>
                <c:ptCount val="14"/>
                <c:pt idx="0">
                  <c:v>66.341675027286797</c:v>
                </c:pt>
                <c:pt idx="1">
                  <c:v>68.493004692032414</c:v>
                </c:pt>
                <c:pt idx="2">
                  <c:v>67.584058697585576</c:v>
                </c:pt>
                <c:pt idx="3">
                  <c:v>66.330356524991842</c:v>
                </c:pt>
                <c:pt idx="4">
                  <c:v>66.083626445905907</c:v>
                </c:pt>
                <c:pt idx="5">
                  <c:v>66.481751084972529</c:v>
                </c:pt>
                <c:pt idx="6">
                  <c:v>67.932069079612234</c:v>
                </c:pt>
                <c:pt idx="7">
                  <c:v>66.898151730245701</c:v>
                </c:pt>
                <c:pt idx="8">
                  <c:v>66.179665692734872</c:v>
                </c:pt>
                <c:pt idx="9">
                  <c:v>66.490936315938157</c:v>
                </c:pt>
                <c:pt idx="10">
                  <c:v>64.134015595823186</c:v>
                </c:pt>
                <c:pt idx="11">
                  <c:v>66.160750912343872</c:v>
                </c:pt>
                <c:pt idx="12">
                  <c:v>68.86734059937082</c:v>
                </c:pt>
                <c:pt idx="13">
                  <c:v>69.882654816571446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BBA-4BBA-A665-647003270E42}"/>
            </c:ext>
          </c:extLst>
        </c:ser>
        <c:ser>
          <c:idx val="2"/>
          <c:order val="2"/>
          <c:tx>
            <c:strRef>
              <c:f>pop_regiao_taxa_15a64!$M$5:$M$6</c:f>
              <c:strCache>
                <c:ptCount val="1"/>
                <c:pt idx="0">
                  <c:v>Região Norte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pop_regiao_taxa_15a64!$J$7:$J$21</c:f>
              <c:strCache>
                <c:ptCount val="1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</c:strCache>
            </c:strRef>
          </c:cat>
          <c:val>
            <c:numRef>
              <c:f>pop_regiao_taxa_15a64!$M$7:$M$21</c:f>
              <c:numCache>
                <c:formatCode>0.00</c:formatCode>
                <c:ptCount val="14"/>
                <c:pt idx="0">
                  <c:v>47.542071971874783</c:v>
                </c:pt>
                <c:pt idx="1">
                  <c:v>47.843892645723734</c:v>
                </c:pt>
                <c:pt idx="2">
                  <c:v>46.935061026670724</c:v>
                </c:pt>
                <c:pt idx="3">
                  <c:v>46.483844063956205</c:v>
                </c:pt>
                <c:pt idx="4">
                  <c:v>48.158775151803972</c:v>
                </c:pt>
                <c:pt idx="5">
                  <c:v>48.489394816351286</c:v>
                </c:pt>
                <c:pt idx="6">
                  <c:v>48.262961722382116</c:v>
                </c:pt>
                <c:pt idx="7">
                  <c:v>48.49100857054448</c:v>
                </c:pt>
                <c:pt idx="8">
                  <c:v>46.295003519889953</c:v>
                </c:pt>
                <c:pt idx="9">
                  <c:v>48.132238935139377</c:v>
                </c:pt>
                <c:pt idx="10">
                  <c:v>47.195964997377565</c:v>
                </c:pt>
                <c:pt idx="11">
                  <c:v>49.458168036240664</c:v>
                </c:pt>
                <c:pt idx="12">
                  <c:v>49.843981457733108</c:v>
                </c:pt>
                <c:pt idx="13">
                  <c:v>50.722289472535671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BBA-4BBA-A665-647003270E42}"/>
            </c:ext>
          </c:extLst>
        </c:ser>
        <c:ser>
          <c:idx val="3"/>
          <c:order val="3"/>
          <c:tx>
            <c:strRef>
              <c:f>pop_regiao_taxa_15a64!$N$5:$N$6</c:f>
              <c:strCache>
                <c:ptCount val="1"/>
                <c:pt idx="0">
                  <c:v>Região Sudeste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pop_regiao_taxa_15a64!$J$7:$J$21</c:f>
              <c:strCache>
                <c:ptCount val="1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</c:strCache>
            </c:strRef>
          </c:cat>
          <c:val>
            <c:numRef>
              <c:f>pop_regiao_taxa_15a64!$N$7:$N$21</c:f>
              <c:numCache>
                <c:formatCode>0.00</c:formatCode>
                <c:ptCount val="14"/>
                <c:pt idx="0">
                  <c:v>86.967849779872409</c:v>
                </c:pt>
                <c:pt idx="1">
                  <c:v>87.055292575905838</c:v>
                </c:pt>
                <c:pt idx="2">
                  <c:v>84.497560018215367</c:v>
                </c:pt>
                <c:pt idx="3">
                  <c:v>84.666270023052007</c:v>
                </c:pt>
                <c:pt idx="4">
                  <c:v>82.777601904422369</c:v>
                </c:pt>
                <c:pt idx="5">
                  <c:v>83.5084484719589</c:v>
                </c:pt>
                <c:pt idx="6">
                  <c:v>86.337283785371227</c:v>
                </c:pt>
                <c:pt idx="7">
                  <c:v>81.366162000609549</c:v>
                </c:pt>
                <c:pt idx="8">
                  <c:v>80.739455627474626</c:v>
                </c:pt>
                <c:pt idx="9">
                  <c:v>80.524647391402866</c:v>
                </c:pt>
                <c:pt idx="10">
                  <c:v>75.98974203011926</c:v>
                </c:pt>
                <c:pt idx="11">
                  <c:v>80.056347989578512</c:v>
                </c:pt>
                <c:pt idx="12">
                  <c:v>82.148608161772728</c:v>
                </c:pt>
                <c:pt idx="13">
                  <c:v>79.56607030770877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BBA-4BBA-A665-647003270E42}"/>
            </c:ext>
          </c:extLst>
        </c:ser>
        <c:ser>
          <c:idx val="4"/>
          <c:order val="4"/>
          <c:tx>
            <c:strRef>
              <c:f>pop_regiao_taxa_15a64!$O$5:$O$6</c:f>
              <c:strCache>
                <c:ptCount val="1"/>
                <c:pt idx="0">
                  <c:v>Região Sul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pop_regiao_taxa_15a64!$J$7:$J$21</c:f>
              <c:strCache>
                <c:ptCount val="1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</c:strCache>
            </c:strRef>
          </c:cat>
          <c:val>
            <c:numRef>
              <c:f>pop_regiao_taxa_15a64!$O$7:$O$21</c:f>
              <c:numCache>
                <c:formatCode>0.00</c:formatCode>
                <c:ptCount val="14"/>
                <c:pt idx="0">
                  <c:v>73.939119173116069</c:v>
                </c:pt>
                <c:pt idx="1">
                  <c:v>74.562710288952616</c:v>
                </c:pt>
                <c:pt idx="2">
                  <c:v>70.340360784271141</c:v>
                </c:pt>
                <c:pt idx="3">
                  <c:v>70.629705495772271</c:v>
                </c:pt>
                <c:pt idx="4">
                  <c:v>67.899011707501387</c:v>
                </c:pt>
                <c:pt idx="5">
                  <c:v>67.847164284924048</c:v>
                </c:pt>
                <c:pt idx="6">
                  <c:v>69.372885816872284</c:v>
                </c:pt>
                <c:pt idx="7">
                  <c:v>65.725228075089717</c:v>
                </c:pt>
                <c:pt idx="8">
                  <c:v>64.399860813204057</c:v>
                </c:pt>
                <c:pt idx="9">
                  <c:v>62.886569733348004</c:v>
                </c:pt>
                <c:pt idx="10">
                  <c:v>61.711781578018446</c:v>
                </c:pt>
                <c:pt idx="11">
                  <c:v>66.331446607115069</c:v>
                </c:pt>
                <c:pt idx="12">
                  <c:v>69.498064356196892</c:v>
                </c:pt>
                <c:pt idx="13">
                  <c:v>65.164093804929635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BBA-4BBA-A665-647003270E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6391615"/>
        <c:axId val="306415615"/>
      </c:lineChart>
      <c:catAx>
        <c:axId val="306391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  <a:prstDash val="dashDot"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06415615"/>
        <c:crosses val="autoZero"/>
        <c:auto val="1"/>
        <c:lblAlgn val="ctr"/>
        <c:lblOffset val="100"/>
        <c:noMultiLvlLbl val="0"/>
      </c:catAx>
      <c:valAx>
        <c:axId val="306415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06391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baseline="0"/>
              <a:t>Principais Causas de Óbito Cardiovascular em Adultos de 15-64 Anos — Brasil, 2010-2023 (Top 10 CID-10)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;[Red]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'cv_cid_15a64 csv'!$E$6:$E$15</c:f>
              <c:strCache>
                <c:ptCount val="10"/>
                <c:pt idx="0">
                  <c:v>I21   Infarto agudo do miocardio</c:v>
                </c:pt>
                <c:pt idx="1">
                  <c:v>I10   Hipertensao essencial</c:v>
                </c:pt>
                <c:pt idx="2">
                  <c:v>I50   Insuf cardiaca</c:v>
                </c:pt>
                <c:pt idx="3">
                  <c:v>I42   Cardiomiopatias</c:v>
                </c:pt>
                <c:pt idx="4">
                  <c:v>I25   Doenc isquemica cronica do coracao</c:v>
                </c:pt>
                <c:pt idx="5">
                  <c:v>I11   Doenc cardiaca hipertensiva</c:v>
                </c:pt>
                <c:pt idx="6">
                  <c:v>I26   Embolia pulmonar</c:v>
                </c:pt>
                <c:pt idx="7">
                  <c:v>I51   Complic cardiopatias doenc cardiacas mal def</c:v>
                </c:pt>
                <c:pt idx="8">
                  <c:v>I12   Doenc renal hipertensiva</c:v>
                </c:pt>
                <c:pt idx="9">
                  <c:v>I49   Outr arritmias cardiacas</c:v>
                </c:pt>
              </c:strCache>
            </c:strRef>
          </c:cat>
          <c:val>
            <c:numRef>
              <c:f>'cv_cid_15a64 csv'!$F$6:$F$15</c:f>
              <c:numCache>
                <c:formatCode>General</c:formatCode>
                <c:ptCount val="10"/>
                <c:pt idx="0">
                  <c:v>456123</c:v>
                </c:pt>
                <c:pt idx="1">
                  <c:v>92325</c:v>
                </c:pt>
                <c:pt idx="2">
                  <c:v>78252</c:v>
                </c:pt>
                <c:pt idx="3">
                  <c:v>69890</c:v>
                </c:pt>
                <c:pt idx="4">
                  <c:v>64525</c:v>
                </c:pt>
                <c:pt idx="5">
                  <c:v>54022</c:v>
                </c:pt>
                <c:pt idx="6">
                  <c:v>34540</c:v>
                </c:pt>
                <c:pt idx="7">
                  <c:v>22752</c:v>
                </c:pt>
                <c:pt idx="8">
                  <c:v>19232</c:v>
                </c:pt>
                <c:pt idx="9">
                  <c:v>12480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DE-4E45-AB4D-0668C61217E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615668239"/>
        <c:axId val="1615673519"/>
      </c:barChart>
      <c:catAx>
        <c:axId val="16156682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15673519"/>
        <c:crosses val="autoZero"/>
        <c:auto val="1"/>
        <c:lblAlgn val="ctr"/>
        <c:lblOffset val="100"/>
        <c:noMultiLvlLbl val="0"/>
      </c:catAx>
      <c:valAx>
        <c:axId val="1615673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;[Red]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15668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>
        <a:lumMod val="95000"/>
      </a:schemeClr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[Cardiovascular_adultos_15a64_anos ANALISE (1).xlsx]cv_local_15a64!Tabela dinâmica6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baseline="0"/>
              <a:t>Local de Ocorrência dos Óbitos Cardiovasculares em Adultos de 15-64 Anos — Brasil, 2010-2023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numFmt formatCode="#,##0;[Red]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2.6204814082865135E-2"/>
              <c:y val="2.3001062453481332E-2"/>
            </c:manualLayout>
          </c:layout>
          <c:numFmt formatCode="#,##0;[Red]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0B05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34137246888160006"/>
              <c:y val="-0.35962689007659882"/>
            </c:manualLayout>
          </c:layout>
          <c:numFmt formatCode="#,##0;[Red]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3.4517367326456073E-3"/>
              <c:y val="3.2864779009369963E-3"/>
            </c:manualLayout>
          </c:layout>
          <c:numFmt formatCode="#,##0;[Red]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1.190293887377087E-2"/>
              <c:y val="-2.9384349047631139E-2"/>
            </c:manualLayout>
          </c:layout>
          <c:numFmt formatCode="#,##0;[Red]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6.4765590240773163E-2"/>
              <c:y val="-3.5581943369057428E-2"/>
            </c:manualLayout>
          </c:layout>
          <c:numFmt formatCode="#,##0;[Red]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'cv_local_15a64'!$I$4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196-4186-A68F-B6C2351F1B80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196-4186-A68F-B6C2351F1B8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196-4186-A68F-B6C2351F1B8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196-4186-A68F-B6C2351F1B8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196-4186-A68F-B6C2351F1B80}"/>
              </c:ext>
            </c:extLst>
          </c:dPt>
          <c:dLbls>
            <c:dLbl>
              <c:idx val="0"/>
              <c:layout>
                <c:manualLayout>
                  <c:x val="2.6204814082865135E-2"/>
                  <c:y val="2.3001062453481332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196-4186-A68F-B6C2351F1B80}"/>
                </c:ext>
              </c:extLst>
            </c:dLbl>
            <c:dLbl>
              <c:idx val="1"/>
              <c:layout>
                <c:manualLayout>
                  <c:x val="0.34137246888160006"/>
                  <c:y val="-0.3596268900765988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196-4186-A68F-B6C2351F1B80}"/>
                </c:ext>
              </c:extLst>
            </c:dLbl>
            <c:dLbl>
              <c:idx val="2"/>
              <c:layout>
                <c:manualLayout>
                  <c:x val="-3.4517367326456073E-3"/>
                  <c:y val="3.2864779009369963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196-4186-A68F-B6C2351F1B80}"/>
                </c:ext>
              </c:extLst>
            </c:dLbl>
            <c:dLbl>
              <c:idx val="3"/>
              <c:layout>
                <c:manualLayout>
                  <c:x val="-1.190293887377087E-2"/>
                  <c:y val="-2.9384349047631139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196-4186-A68F-B6C2351F1B80}"/>
                </c:ext>
              </c:extLst>
            </c:dLbl>
            <c:dLbl>
              <c:idx val="4"/>
              <c:layout>
                <c:manualLayout>
                  <c:x val="6.4765590240773163E-2"/>
                  <c:y val="-3.5581943369057428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196-4186-A68F-B6C2351F1B80}"/>
                </c:ext>
              </c:extLst>
            </c:dLbl>
            <c:numFmt formatCode="#,##0;[Red]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'cv_local_15a64'!$H$5:$H$10</c:f>
              <c:strCache>
                <c:ptCount val="5"/>
                <c:pt idx="0">
                  <c:v>Domicílio</c:v>
                </c:pt>
                <c:pt idx="1">
                  <c:v>Hospital</c:v>
                </c:pt>
                <c:pt idx="2">
                  <c:v>Outro estabelecimento de saúde</c:v>
                </c:pt>
                <c:pt idx="3">
                  <c:v>Outros</c:v>
                </c:pt>
                <c:pt idx="4">
                  <c:v>Via pública</c:v>
                </c:pt>
              </c:strCache>
            </c:strRef>
          </c:cat>
          <c:val>
            <c:numRef>
              <c:f>'cv_local_15a64'!$I$5:$I$10</c:f>
              <c:numCache>
                <c:formatCode>General</c:formatCode>
                <c:ptCount val="5"/>
                <c:pt idx="0">
                  <c:v>325996</c:v>
                </c:pt>
                <c:pt idx="1">
                  <c:v>908326</c:v>
                </c:pt>
                <c:pt idx="2">
                  <c:v>123375</c:v>
                </c:pt>
                <c:pt idx="3">
                  <c:v>47603</c:v>
                </c:pt>
                <c:pt idx="4">
                  <c:v>30218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196-4186-A68F-B6C2351F1B8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baseline="0"/>
              <a:t>Óbitos Cardiovasculares em Adultos de 15-64 Anos: Real vs. Tendência Esperada — Brasil, 2010-2023</a:t>
            </a:r>
            <a:endParaRPr lang="pt-BR"/>
          </a:p>
        </c:rich>
      </c:tx>
      <c:layout>
        <c:manualLayout>
          <c:xMode val="edge"/>
          <c:yMode val="edge"/>
          <c:x val="0.12268631717087995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9.5348977759359022E-2"/>
          <c:y val="0.14375968992248064"/>
          <c:w val="0.8783352327669568"/>
          <c:h val="0.67766129524507113"/>
        </c:manualLayout>
      </c:layout>
      <c:lineChart>
        <c:grouping val="standard"/>
        <c:varyColors val="0"/>
        <c:ser>
          <c:idx val="1"/>
          <c:order val="0"/>
          <c:tx>
            <c:strRef>
              <c:f>'cv_total_15a64'!$H$2</c:f>
              <c:strCache>
                <c:ptCount val="1"/>
                <c:pt idx="0">
                  <c:v>Real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2">
                  <a:lumMod val="10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5.1976744803310146E-2"/>
                  <c:y val="-4.647514763779527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074-4491-BF94-4DBCF053A359}"/>
                </c:ext>
              </c:extLst>
            </c:dLbl>
            <c:dLbl>
              <c:idx val="3"/>
              <c:layout>
                <c:manualLayout>
                  <c:x val="-4.6061399788038034E-2"/>
                  <c:y val="-7.99572904949381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074-4491-BF94-4DBCF053A359}"/>
                </c:ext>
              </c:extLst>
            </c:dLbl>
            <c:dLbl>
              <c:idx val="5"/>
              <c:layout>
                <c:manualLayout>
                  <c:x val="-6.3459473362367874E-2"/>
                  <c:y val="-7.623705239970003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074-4491-BF94-4DBCF053A359}"/>
                </c:ext>
              </c:extLst>
            </c:dLbl>
            <c:dLbl>
              <c:idx val="7"/>
              <c:layout>
                <c:manualLayout>
                  <c:x val="-4.8236158984829254E-2"/>
                  <c:y val="-9.11180047806524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074-4491-BF94-4DBCF053A359}"/>
                </c:ext>
              </c:extLst>
            </c:dLbl>
            <c:dLbl>
              <c:idx val="8"/>
              <c:layout>
                <c:manualLayout>
                  <c:x val="-4.1711881394455599E-2"/>
                  <c:y val="-4.647514763779527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074-4491-BF94-4DBCF053A359}"/>
                </c:ext>
              </c:extLst>
            </c:dLbl>
            <c:dLbl>
              <c:idx val="9"/>
              <c:layout>
                <c:manualLayout>
                  <c:x val="-3.7362363000873235E-2"/>
                  <c:y val="-8.3677528590176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074-4491-BF94-4DBCF053A359}"/>
                </c:ext>
              </c:extLst>
            </c:dLbl>
            <c:dLbl>
              <c:idx val="10"/>
              <c:layout>
                <c:manualLayout>
                  <c:x val="-4.3277708016145437E-2"/>
                  <c:y val="5.769151902887138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074-4491-BF94-4DBCF053A359}"/>
                </c:ext>
              </c:extLst>
            </c:dLbl>
            <c:dLbl>
              <c:idx val="11"/>
              <c:layout>
                <c:manualLayout>
                  <c:x val="-7.6508028543115114E-2"/>
                  <c:y val="-8.739776668541435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074-4491-BF94-4DBCF053A359}"/>
                </c:ext>
              </c:extLst>
            </c:dLbl>
            <c:dLbl>
              <c:idx val="13"/>
              <c:layout>
                <c:manualLayout>
                  <c:x val="-1.2710868162159109E-2"/>
                  <c:y val="-4.647514763779527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074-4491-BF94-4DBCF053A359}"/>
                </c:ext>
              </c:extLst>
            </c:dLbl>
            <c:numFmt formatCode="#,##0;[Red]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'cv_total_15a64'!$G$3:$G$16</c:f>
              <c:numCache>
                <c:formatCode>General</c:formatCode>
                <c:ptCount val="1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</c:numCache>
            </c:numRef>
          </c:cat>
          <c:val>
            <c:numRef>
              <c:f>'cv_total_15a64'!$H$3:$H$16</c:f>
              <c:numCache>
                <c:formatCode>General</c:formatCode>
                <c:ptCount val="14"/>
                <c:pt idx="0">
                  <c:v>99825</c:v>
                </c:pt>
                <c:pt idx="1">
                  <c:v>102056</c:v>
                </c:pt>
                <c:pt idx="2">
                  <c:v>100585</c:v>
                </c:pt>
                <c:pt idx="3">
                  <c:v>101473</c:v>
                </c:pt>
                <c:pt idx="4">
                  <c:v>100704</c:v>
                </c:pt>
                <c:pt idx="5">
                  <c:v>102227</c:v>
                </c:pt>
                <c:pt idx="6">
                  <c:v>105672</c:v>
                </c:pt>
                <c:pt idx="7">
                  <c:v>102342</c:v>
                </c:pt>
                <c:pt idx="8">
                  <c:v>101886</c:v>
                </c:pt>
                <c:pt idx="9">
                  <c:v>102164</c:v>
                </c:pt>
                <c:pt idx="10">
                  <c:v>98803</c:v>
                </c:pt>
                <c:pt idx="11">
                  <c:v>104639</c:v>
                </c:pt>
                <c:pt idx="12">
                  <c:v>108133</c:v>
                </c:pt>
                <c:pt idx="13">
                  <c:v>106182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5C-4BC2-9AD8-8A13EAE7F687}"/>
            </c:ext>
          </c:extLst>
        </c:ser>
        <c:ser>
          <c:idx val="2"/>
          <c:order val="1"/>
          <c:tx>
            <c:strRef>
              <c:f>'cv_total_15a64'!$I$2</c:f>
              <c:strCache>
                <c:ptCount val="1"/>
                <c:pt idx="0">
                  <c:v>Projetado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002060"/>
                </a:solidFill>
              </a:ln>
              <a:effectLst/>
            </c:spPr>
          </c:marker>
          <c:dLbls>
            <c:dLbl>
              <c:idx val="12"/>
              <c:layout>
                <c:manualLayout>
                  <c:x val="-5.493019197207679E-2"/>
                  <c:y val="6.353918520000242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CAB-4227-8957-D2C1D5C30E31}"/>
                </c:ext>
              </c:extLst>
            </c:dLbl>
            <c:dLbl>
              <c:idx val="13"/>
              <c:layout>
                <c:manualLayout>
                  <c:x val="-1.0389956163856481E-2"/>
                  <c:y val="5.19918410891479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CAB-4227-8957-D2C1D5C30E31}"/>
                </c:ext>
              </c:extLst>
            </c:dLbl>
            <c:numFmt formatCode="#,##0;[Red]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'cv_total_15a64'!$G$3:$G$16</c:f>
              <c:numCache>
                <c:formatCode>General</c:formatCode>
                <c:ptCount val="1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</c:numCache>
            </c:numRef>
          </c:cat>
          <c:val>
            <c:numRef>
              <c:f>'cv_total_15a64'!$I$3:$I$16</c:f>
              <c:numCache>
                <c:formatCode>General</c:formatCode>
                <c:ptCount val="14"/>
                <c:pt idx="0">
                  <c:v>99825</c:v>
                </c:pt>
                <c:pt idx="1">
                  <c:v>102056</c:v>
                </c:pt>
                <c:pt idx="2">
                  <c:v>100585</c:v>
                </c:pt>
                <c:pt idx="3">
                  <c:v>101473</c:v>
                </c:pt>
                <c:pt idx="4">
                  <c:v>100704</c:v>
                </c:pt>
                <c:pt idx="5">
                  <c:v>102227</c:v>
                </c:pt>
                <c:pt idx="6">
                  <c:v>105672</c:v>
                </c:pt>
                <c:pt idx="7">
                  <c:v>102342</c:v>
                </c:pt>
                <c:pt idx="8">
                  <c:v>101886</c:v>
                </c:pt>
                <c:pt idx="9">
                  <c:v>102164</c:v>
                </c:pt>
                <c:pt idx="10" formatCode="0">
                  <c:v>103930.25494505488</c:v>
                </c:pt>
                <c:pt idx="11" formatCode="0">
                  <c:v>104304.38901098899</c:v>
                </c:pt>
                <c:pt idx="12" formatCode="0">
                  <c:v>104678.52307692298</c:v>
                </c:pt>
                <c:pt idx="13" formatCode="0">
                  <c:v>105052.65714285709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35C-4BC2-9AD8-8A13EAE7F6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5698479"/>
        <c:axId val="1615706159"/>
      </c:lineChart>
      <c:catAx>
        <c:axId val="1615698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15706159"/>
        <c:crosses val="autoZero"/>
        <c:auto val="1"/>
        <c:lblAlgn val="ctr"/>
        <c:lblOffset val="100"/>
        <c:noMultiLvlLbl val="0"/>
      </c:catAx>
      <c:valAx>
        <c:axId val="1615706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;[Red]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15698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'cv_total_15a64'!$H$2</c:f>
              <c:strCache>
                <c:ptCount val="1"/>
                <c:pt idx="0">
                  <c:v>Real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'cv_total_15a64'!$G$3:$G$16</c:f>
              <c:numCache>
                <c:formatCode>General</c:formatCode>
                <c:ptCount val="1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</c:numCache>
            </c:numRef>
          </c:xVal>
          <c:yVal>
            <c:numRef>
              <c:f>'cv_total_15a64'!$H$3:$H$16</c:f>
              <c:numCache>
                <c:formatCode>General</c:formatCode>
                <c:ptCount val="14"/>
                <c:pt idx="0">
                  <c:v>99825</c:v>
                </c:pt>
                <c:pt idx="1">
                  <c:v>102056</c:v>
                </c:pt>
                <c:pt idx="2">
                  <c:v>100585</c:v>
                </c:pt>
                <c:pt idx="3">
                  <c:v>101473</c:v>
                </c:pt>
                <c:pt idx="4">
                  <c:v>100704</c:v>
                </c:pt>
                <c:pt idx="5">
                  <c:v>102227</c:v>
                </c:pt>
                <c:pt idx="6">
                  <c:v>105672</c:v>
                </c:pt>
                <c:pt idx="7">
                  <c:v>102342</c:v>
                </c:pt>
                <c:pt idx="8">
                  <c:v>101886</c:v>
                </c:pt>
                <c:pt idx="9">
                  <c:v>102164</c:v>
                </c:pt>
                <c:pt idx="10">
                  <c:v>98803</c:v>
                </c:pt>
                <c:pt idx="11">
                  <c:v>104639</c:v>
                </c:pt>
                <c:pt idx="12">
                  <c:v>108133</c:v>
                </c:pt>
                <c:pt idx="13">
                  <c:v>106182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98-4DE3-8F68-E2A46357A4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5695727"/>
        <c:axId val="1710223151"/>
      </c:scatterChart>
      <c:valAx>
        <c:axId val="1555695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10223151"/>
        <c:crosses val="autoZero"/>
        <c:crossBetween val="midCat"/>
      </c:valAx>
      <c:valAx>
        <c:axId val="1710223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556957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323850</xdr:colOff>
      <xdr:row>17</xdr:row>
      <xdr:rowOff>142874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933A326-3063-2B91-7666-F52C42DFC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17</xdr:row>
      <xdr:rowOff>133350</xdr:rowOff>
    </xdr:from>
    <xdr:to>
      <xdr:col>9</xdr:col>
      <xdr:colOff>323850</xdr:colOff>
      <xdr:row>22</xdr:row>
      <xdr:rowOff>66675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4E0C698C-46EE-936A-9A00-AB484AF8CA40}"/>
            </a:ext>
          </a:extLst>
        </xdr:cNvPr>
        <xdr:cNvSpPr txBox="1"/>
      </xdr:nvSpPr>
      <xdr:spPr>
        <a:xfrm>
          <a:off x="0" y="3371850"/>
          <a:ext cx="5810250" cy="885825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/>
            <a:t>Entre 2010 e 2023, ocorreram 1.436.691 óbitos cardiovasculares em adultos de 15 a 64 anos no Brasil — uma média de 281 mortes por dia. O período apresentou relativa estabilidade até 2019, com queda acentuada em 2020 consistente com o impacto da pandemia de COVID-19, seguida de crescimento expressivo em 2022 e 2023, superando o pico histórico anterior de 2016.</a:t>
          </a:r>
          <a:endParaRPr lang="pt-BR" sz="1100"/>
        </a:p>
      </xdr:txBody>
    </xdr:sp>
    <xdr:clientData/>
  </xdr:twoCellAnchor>
  <xdr:twoCellAnchor>
    <xdr:from>
      <xdr:col>0</xdr:col>
      <xdr:colOff>0</xdr:colOff>
      <xdr:row>22</xdr:row>
      <xdr:rowOff>66675</xdr:rowOff>
    </xdr:from>
    <xdr:to>
      <xdr:col>9</xdr:col>
      <xdr:colOff>323850</xdr:colOff>
      <xdr:row>39</xdr:row>
      <xdr:rowOff>28575</xdr:rowOff>
    </xdr:to>
    <xdr:graphicFrame macro="">
      <xdr:nvGraphicFramePr>
        <xdr:cNvPr id="4" name="Gráfico 1">
          <a:extLst>
            <a:ext uri="{FF2B5EF4-FFF2-40B4-BE49-F238E27FC236}">
              <a16:creationId xmlns:a16="http://schemas.microsoft.com/office/drawing/2014/main" id="{E0FD2B12-7066-694E-53CC-50E492BD35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38</xdr:row>
      <xdr:rowOff>152400</xdr:rowOff>
    </xdr:from>
    <xdr:to>
      <xdr:col>9</xdr:col>
      <xdr:colOff>323850</xdr:colOff>
      <xdr:row>42</xdr:row>
      <xdr:rowOff>104775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F013FDB0-E765-4CE4-8DA8-0D2D10B371DF}"/>
            </a:ext>
          </a:extLst>
        </xdr:cNvPr>
        <xdr:cNvSpPr txBox="1"/>
      </xdr:nvSpPr>
      <xdr:spPr>
        <a:xfrm>
          <a:off x="0" y="7391400"/>
          <a:ext cx="5810250" cy="714375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/>
            <a:t>O risco cardiovascular cresce de forma expressiva com a idade. A faixa de 60-64 anos concentra 30,6% de todos os óbitos, enquanto as faixas abaixo dos 35 anos representam apenas 5,6% do total.</a:t>
          </a:r>
          <a:endParaRPr lang="pt-BR" sz="1100" u="sng"/>
        </a:p>
      </xdr:txBody>
    </xdr:sp>
    <xdr:clientData/>
  </xdr:twoCellAnchor>
  <xdr:twoCellAnchor>
    <xdr:from>
      <xdr:col>0</xdr:col>
      <xdr:colOff>0</xdr:colOff>
      <xdr:row>42</xdr:row>
      <xdr:rowOff>93050</xdr:rowOff>
    </xdr:from>
    <xdr:to>
      <xdr:col>9</xdr:col>
      <xdr:colOff>314324</xdr:colOff>
      <xdr:row>57</xdr:row>
      <xdr:rowOff>153865</xdr:rowOff>
    </xdr:to>
    <xdr:graphicFrame macro="">
      <xdr:nvGraphicFramePr>
        <xdr:cNvPr id="7" name="Gráfico 2">
          <a:extLst>
            <a:ext uri="{FF2B5EF4-FFF2-40B4-BE49-F238E27FC236}">
              <a16:creationId xmlns:a16="http://schemas.microsoft.com/office/drawing/2014/main" id="{494DD207-52FC-C233-A847-603270B34E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57</xdr:row>
      <xdr:rowOff>152400</xdr:rowOff>
    </xdr:from>
    <xdr:to>
      <xdr:col>9</xdr:col>
      <xdr:colOff>323850</xdr:colOff>
      <xdr:row>63</xdr:row>
      <xdr:rowOff>0</xdr:rowOff>
    </xdr:to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843C6498-841D-447D-9DA2-A61B71B38979}"/>
            </a:ext>
          </a:extLst>
        </xdr:cNvPr>
        <xdr:cNvSpPr txBox="1"/>
      </xdr:nvSpPr>
      <xdr:spPr>
        <a:xfrm>
          <a:off x="0" y="11010900"/>
          <a:ext cx="5810250" cy="990600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/>
            <a:t>A predominância masculina se mantém em todas as faixas etárias, mas é menos acentuada entre 35 e 50 anos, onde a proporção feminina atinge seu pico. Esse padrão pode refletir maior incidência de doenças hipertensivas e tromboembólicas em mulheres nessa fase da vida. A partir dos 50 anos, a diferença entre sexos se reduz progressivamente, consistente com a perda da proteção hormonal feminina após a menopausa.</a:t>
          </a:r>
          <a:endParaRPr lang="pt-BR" sz="1100" u="sng"/>
        </a:p>
      </xdr:txBody>
    </xdr:sp>
    <xdr:clientData/>
  </xdr:twoCellAnchor>
  <xdr:twoCellAnchor>
    <xdr:from>
      <xdr:col>0</xdr:col>
      <xdr:colOff>9525</xdr:colOff>
      <xdr:row>77</xdr:row>
      <xdr:rowOff>190499</xdr:rowOff>
    </xdr:from>
    <xdr:to>
      <xdr:col>9</xdr:col>
      <xdr:colOff>333375</xdr:colOff>
      <xdr:row>83</xdr:row>
      <xdr:rowOff>85724</xdr:rowOff>
    </xdr:to>
    <xdr:sp macro="" textlink="">
      <xdr:nvSpPr>
        <xdr:cNvPr id="9" name="CaixaDeTexto 8">
          <a:extLst>
            <a:ext uri="{FF2B5EF4-FFF2-40B4-BE49-F238E27FC236}">
              <a16:creationId xmlns:a16="http://schemas.microsoft.com/office/drawing/2014/main" id="{C81B2714-CC0B-4206-AB34-51EA540F11D9}"/>
            </a:ext>
          </a:extLst>
        </xdr:cNvPr>
        <xdr:cNvSpPr txBox="1"/>
      </xdr:nvSpPr>
      <xdr:spPr>
        <a:xfrm>
          <a:off x="9525" y="14858999"/>
          <a:ext cx="5810250" cy="1038225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/>
            <a:t>A população branca concentra 43,6% dos óbitos cardiovasculares, seguida pela parda com 41,3% e pela preta com 11,2%. Esses números refletem principalmente a composição racial da população brasileira na faixa de 15-64 anos. Para identificar desigualdades reais no risco entre grupos raciais, seria necessária a taxa por 100 mil habitantes por raça, o que exige dados populacionais detalhados do IBGE.</a:t>
          </a:r>
          <a:endParaRPr lang="pt-BR" sz="1100" u="sng"/>
        </a:p>
      </xdr:txBody>
    </xdr:sp>
    <xdr:clientData/>
  </xdr:twoCellAnchor>
  <xdr:twoCellAnchor>
    <xdr:from>
      <xdr:col>0</xdr:col>
      <xdr:colOff>0</xdr:colOff>
      <xdr:row>171</xdr:row>
      <xdr:rowOff>95250</xdr:rowOff>
    </xdr:from>
    <xdr:to>
      <xdr:col>9</xdr:col>
      <xdr:colOff>323850</xdr:colOff>
      <xdr:row>181</xdr:row>
      <xdr:rowOff>91440</xdr:rowOff>
    </xdr:to>
    <xdr:sp macro="" textlink="">
      <xdr:nvSpPr>
        <xdr:cNvPr id="10" name="CaixaDeTexto 9">
          <a:extLst>
            <a:ext uri="{FF2B5EF4-FFF2-40B4-BE49-F238E27FC236}">
              <a16:creationId xmlns:a16="http://schemas.microsoft.com/office/drawing/2014/main" id="{21C1D4A3-4D88-4B32-8DA0-D8FDDE79FFBA}"/>
            </a:ext>
          </a:extLst>
        </xdr:cNvPr>
        <xdr:cNvSpPr txBox="1"/>
      </xdr:nvSpPr>
      <xdr:spPr>
        <a:xfrm>
          <a:off x="0" y="31367730"/>
          <a:ext cx="5810250" cy="1824990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i="0"/>
            <a:t>O gráfico mostra duas linhas: a linha vermelha representa os óbitos reais registrados a cada ano, e a linha preta tracejada representa quantos óbitos seriam esperados se a tendência de 2010 a 2019 tivesse continuado sem nenhuma ruptura.</a:t>
          </a:r>
        </a:p>
        <a:p>
          <a:r>
            <a:rPr lang="pt-BR" i="0"/>
            <a:t>Em 2020, a linha vermelha caiu abaixo da tracejada, foram 5.127 mortes a menos do que o esperado. Isso não significa que houve melhora real, mas sim que a pandemia provavelmente reduziu o registro correto dos óbitos e o acesso aos serviços de saúde.</a:t>
          </a:r>
        </a:p>
        <a:p>
          <a:r>
            <a:rPr lang="pt-BR" i="0"/>
            <a:t>Em 2022, a linha vermelha subiu acima da tracejada,</a:t>
          </a:r>
          <a:r>
            <a:rPr lang="pt-BR" i="0" baseline="0"/>
            <a:t> </a:t>
          </a:r>
          <a:r>
            <a:rPr lang="pt-BR" i="0"/>
            <a:t>foram 3.454 mortes a mais do que o esperado. Isso sugere um possível efeito residual da pandemia sobre a saúde cardiovascular da população.</a:t>
          </a:r>
        </a:p>
        <a:p>
          <a:r>
            <a:rPr lang="pt-BR" i="1"/>
            <a:t>Nota: eixo Y iniciando em 94.000 para melhor visualização da diferença entre as linhas.</a:t>
          </a:r>
        </a:p>
      </xdr:txBody>
    </xdr:sp>
    <xdr:clientData/>
  </xdr:twoCellAnchor>
  <xdr:twoCellAnchor>
    <xdr:from>
      <xdr:col>0</xdr:col>
      <xdr:colOff>0</xdr:colOff>
      <xdr:row>101</xdr:row>
      <xdr:rowOff>167308</xdr:rowOff>
    </xdr:from>
    <xdr:to>
      <xdr:col>9</xdr:col>
      <xdr:colOff>323850</xdr:colOff>
      <xdr:row>107</xdr:row>
      <xdr:rowOff>19878</xdr:rowOff>
    </xdr:to>
    <xdr:sp macro="" textlink="">
      <xdr:nvSpPr>
        <xdr:cNvPr id="11" name="CaixaDeTexto 10">
          <a:extLst>
            <a:ext uri="{FF2B5EF4-FFF2-40B4-BE49-F238E27FC236}">
              <a16:creationId xmlns:a16="http://schemas.microsoft.com/office/drawing/2014/main" id="{32EAA2DC-475F-40C0-9B77-20331F59863C}"/>
            </a:ext>
          </a:extLst>
        </xdr:cNvPr>
        <xdr:cNvSpPr txBox="1"/>
      </xdr:nvSpPr>
      <xdr:spPr>
        <a:xfrm>
          <a:off x="0" y="18905882"/>
          <a:ext cx="5810250" cy="965753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/>
            <a:t>Após ajuste pela população de adultos de 15-64 anos de cada região, o Sudeste apresenta a maior taxa de mortalidade cardiovascular do país, com média de 82 óbitos por 100 mil habitantes. O Norte registra a menor taxa, com 48 por 100 mil. Essa diferença pode refletir tanto desigualdades no acesso ao diagnóstico e tratamento quanto diferenças na composição etária da população regional.</a:t>
          </a:r>
          <a:endParaRPr lang="pt-BR" sz="1100" u="sng"/>
        </a:p>
      </xdr:txBody>
    </xdr:sp>
    <xdr:clientData/>
  </xdr:twoCellAnchor>
  <xdr:twoCellAnchor>
    <xdr:from>
      <xdr:col>0</xdr:col>
      <xdr:colOff>0</xdr:colOff>
      <xdr:row>62</xdr:row>
      <xdr:rowOff>190499</xdr:rowOff>
    </xdr:from>
    <xdr:to>
      <xdr:col>9</xdr:col>
      <xdr:colOff>323850</xdr:colOff>
      <xdr:row>78</xdr:row>
      <xdr:rowOff>9525</xdr:rowOff>
    </xdr:to>
    <xdr:graphicFrame macro="">
      <xdr:nvGraphicFramePr>
        <xdr:cNvPr id="12" name="Gráfico 1">
          <a:extLst>
            <a:ext uri="{FF2B5EF4-FFF2-40B4-BE49-F238E27FC236}">
              <a16:creationId xmlns:a16="http://schemas.microsoft.com/office/drawing/2014/main" id="{B6B16C5F-B037-34C8-209E-CAEA35A097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6626</xdr:colOff>
      <xdr:row>83</xdr:row>
      <xdr:rowOff>78598</xdr:rowOff>
    </xdr:from>
    <xdr:to>
      <xdr:col>9</xdr:col>
      <xdr:colOff>320390</xdr:colOff>
      <xdr:row>102</xdr:row>
      <xdr:rowOff>4677</xdr:rowOff>
    </xdr:to>
    <xdr:graphicFrame macro="">
      <xdr:nvGraphicFramePr>
        <xdr:cNvPr id="6" name="Gráfico 1">
          <a:extLst>
            <a:ext uri="{FF2B5EF4-FFF2-40B4-BE49-F238E27FC236}">
              <a16:creationId xmlns:a16="http://schemas.microsoft.com/office/drawing/2014/main" id="{5DBE9054-8DB9-4152-E9D8-ADA780730B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124</xdr:row>
      <xdr:rowOff>112975</xdr:rowOff>
    </xdr:from>
    <xdr:to>
      <xdr:col>9</xdr:col>
      <xdr:colOff>323850</xdr:colOff>
      <xdr:row>130</xdr:row>
      <xdr:rowOff>144780</xdr:rowOff>
    </xdr:to>
    <xdr:sp macro="" textlink="">
      <xdr:nvSpPr>
        <xdr:cNvPr id="13" name="CaixaDeTexto 12">
          <a:extLst>
            <a:ext uri="{FF2B5EF4-FFF2-40B4-BE49-F238E27FC236}">
              <a16:creationId xmlns:a16="http://schemas.microsoft.com/office/drawing/2014/main" id="{92F4A289-E08F-42D5-8456-82E7D4F849C8}"/>
            </a:ext>
          </a:extLst>
        </xdr:cNvPr>
        <xdr:cNvSpPr txBox="1"/>
      </xdr:nvSpPr>
      <xdr:spPr>
        <a:xfrm>
          <a:off x="0" y="22790095"/>
          <a:ext cx="5810250" cy="1129085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/>
            <a:t>O infarto agudo do miocárdio (I21) é responsável por 31,7% de todos os óbitos cardiovasculares em adultos de 15-64 anos — quase um terço do total. A hipertensão essencial (I10) aparece em segundo lugar, refletindo o peso das doenças crônicas nessa faixa etária mais ampla. As cardiomiopatias (I42), clássica causa de morte súbita em jovens, aparecem em quarto lugar. A categoria I51 representa casos com diagnóstico impreciso,</a:t>
          </a:r>
          <a:r>
            <a:rPr lang="pt-BR" baseline="0"/>
            <a:t> </a:t>
          </a:r>
          <a:r>
            <a:rPr lang="pt-BR"/>
            <a:t>limitação inerente ao preenchimento do atestado de óbito.</a:t>
          </a:r>
          <a:endParaRPr lang="pt-BR" sz="1100" u="sng"/>
        </a:p>
      </xdr:txBody>
    </xdr:sp>
    <xdr:clientData/>
  </xdr:twoCellAnchor>
  <xdr:twoCellAnchor>
    <xdr:from>
      <xdr:col>0</xdr:col>
      <xdr:colOff>0</xdr:colOff>
      <xdr:row>107</xdr:row>
      <xdr:rowOff>9551</xdr:rowOff>
    </xdr:from>
    <xdr:to>
      <xdr:col>9</xdr:col>
      <xdr:colOff>313765</xdr:colOff>
      <xdr:row>124</xdr:row>
      <xdr:rowOff>125505</xdr:rowOff>
    </xdr:to>
    <xdr:graphicFrame macro="">
      <xdr:nvGraphicFramePr>
        <xdr:cNvPr id="15" name="Gráfico 2">
          <a:extLst>
            <a:ext uri="{FF2B5EF4-FFF2-40B4-BE49-F238E27FC236}">
              <a16:creationId xmlns:a16="http://schemas.microsoft.com/office/drawing/2014/main" id="{C9D8B604-C51E-AE6D-8999-6C50059E37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130</xdr:row>
      <xdr:rowOff>133350</xdr:rowOff>
    </xdr:from>
    <xdr:to>
      <xdr:col>9</xdr:col>
      <xdr:colOff>312420</xdr:colOff>
      <xdr:row>148</xdr:row>
      <xdr:rowOff>91440</xdr:rowOff>
    </xdr:to>
    <xdr:graphicFrame macro="">
      <xdr:nvGraphicFramePr>
        <xdr:cNvPr id="16" name="Gráfico 1">
          <a:extLst>
            <a:ext uri="{FF2B5EF4-FFF2-40B4-BE49-F238E27FC236}">
              <a16:creationId xmlns:a16="http://schemas.microsoft.com/office/drawing/2014/main" id="{206F9108-0F20-AD4C-A1A9-CA5F3438ED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148</xdr:row>
      <xdr:rowOff>87630</xdr:rowOff>
    </xdr:from>
    <xdr:to>
      <xdr:col>9</xdr:col>
      <xdr:colOff>323850</xdr:colOff>
      <xdr:row>153</xdr:row>
      <xdr:rowOff>152400</xdr:rowOff>
    </xdr:to>
    <xdr:sp macro="" textlink="">
      <xdr:nvSpPr>
        <xdr:cNvPr id="17" name="CaixaDeTexto 16">
          <a:extLst>
            <a:ext uri="{FF2B5EF4-FFF2-40B4-BE49-F238E27FC236}">
              <a16:creationId xmlns:a16="http://schemas.microsoft.com/office/drawing/2014/main" id="{70D571D3-B291-4E59-964D-D9A6DCAFF294}"/>
            </a:ext>
          </a:extLst>
        </xdr:cNvPr>
        <xdr:cNvSpPr txBox="1"/>
      </xdr:nvSpPr>
      <xdr:spPr>
        <a:xfrm>
          <a:off x="0" y="27153870"/>
          <a:ext cx="5810250" cy="979170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/>
            <a:t>63% dos óbitos cardiovasculares ocorrem em ambiente hospitalar. Porém, 28% acontecem fora do hospital,</a:t>
          </a:r>
          <a:r>
            <a:rPr lang="pt-BR" baseline="0"/>
            <a:t> </a:t>
          </a:r>
          <a:r>
            <a:rPr lang="pt-BR"/>
            <a:t>sendo 22,7% em domicílio e 2,1% em via pública. Esses casos representam adultos que não chegaram a receber atendimento de emergência a tempo, evidenciando barreiras críticas no acesso ao socorro. O local registrado é onde o óbito foi constatado, não necessariamente onde o evento iniciou.</a:t>
          </a:r>
          <a:endParaRPr lang="pt-BR" sz="1100" u="sng"/>
        </a:p>
      </xdr:txBody>
    </xdr:sp>
    <xdr:clientData/>
  </xdr:twoCellAnchor>
  <xdr:twoCellAnchor>
    <xdr:from>
      <xdr:col>0</xdr:col>
      <xdr:colOff>7620</xdr:colOff>
      <xdr:row>153</xdr:row>
      <xdr:rowOff>129540</xdr:rowOff>
    </xdr:from>
    <xdr:to>
      <xdr:col>9</xdr:col>
      <xdr:colOff>342900</xdr:colOff>
      <xdr:row>171</xdr:row>
      <xdr:rowOff>114300</xdr:rowOff>
    </xdr:to>
    <xdr:graphicFrame macro="">
      <xdr:nvGraphicFramePr>
        <xdr:cNvPr id="18" name="Gráfico 1">
          <a:extLst>
            <a:ext uri="{FF2B5EF4-FFF2-40B4-BE49-F238E27FC236}">
              <a16:creationId xmlns:a16="http://schemas.microsoft.com/office/drawing/2014/main" id="{D172C699-9D0B-9FC4-C03B-A2D2F942A9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371475</xdr:colOff>
      <xdr:row>0</xdr:row>
      <xdr:rowOff>176212</xdr:rowOff>
    </xdr:from>
    <xdr:to>
      <xdr:col>18</xdr:col>
      <xdr:colOff>66675</xdr:colOff>
      <xdr:row>15</xdr:row>
      <xdr:rowOff>61912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3185814-E833-1423-2E44-6D71E9C5A1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everton" refreshedDate="46171.683612731482" createdVersion="8" refreshedVersion="8" minRefreshableVersion="3" recordCount="140" xr:uid="{7870C4C7-F7F1-42EC-AE5D-06C98B6C019C}">
  <cacheSource type="worksheet">
    <worksheetSource name="cv_faixaetaria_ano_15a64"/>
  </cacheSource>
  <cacheFields count="3">
    <cacheField name="Faixa Etária" numFmtId="0">
      <sharedItems count="10">
        <s v="15 a 19 anos"/>
        <s v="20 a 24 anos"/>
        <s v="25 a 29 anos"/>
        <s v="30 a 34 anos"/>
        <s v="35 a 39 anos"/>
        <s v="40 a 44 anos"/>
        <s v="45 a 49 anos"/>
        <s v="50 a 54 anos"/>
        <s v="55 a 59 anos"/>
        <s v="60 a 64 anos"/>
      </sharedItems>
    </cacheField>
    <cacheField name="Ano" numFmtId="0">
      <sharedItems count="14">
        <s v="2010"/>
        <s v="2011"/>
        <s v="2012"/>
        <s v="2013"/>
        <s v="2014"/>
        <s v="2015"/>
        <s v="2016"/>
        <s v="2017"/>
        <s v="2018"/>
        <s v="2019"/>
        <s v="2020"/>
        <s v="2021"/>
        <s v="2022"/>
        <s v="2023"/>
      </sharedItems>
    </cacheField>
    <cacheField name="Obitos" numFmtId="0">
      <sharedItems containsSemiMixedTypes="0" containsString="0" containsNumber="1" containsInteger="1" minValue="492" maxValue="3454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everton" refreshedDate="46171.700659953705" createdVersion="8" refreshedVersion="8" minRefreshableVersion="3" recordCount="70" xr:uid="{A1529BC3-D9C4-4AC2-9F93-A4550546649A}">
  <cacheSource type="worksheet">
    <worksheetSource name="cv_raca_15a64"/>
  </cacheSource>
  <cacheFields count="3">
    <cacheField name="Cor/raça" numFmtId="0">
      <sharedItems count="5">
        <s v="Branca"/>
        <s v="Preta"/>
        <s v="Amarela"/>
        <s v="Parda"/>
        <s v="Indígena"/>
      </sharedItems>
    </cacheField>
    <cacheField name="Ano" numFmtId="0">
      <sharedItems count="14">
        <s v="2010"/>
        <s v="2011"/>
        <s v="2012"/>
        <s v="2013"/>
        <s v="2014"/>
        <s v="2015"/>
        <s v="2016"/>
        <s v="2017"/>
        <s v="2018"/>
        <s v="2019"/>
        <s v="2020"/>
        <s v="2021"/>
        <s v="2022"/>
        <s v="2023"/>
      </sharedItems>
    </cacheField>
    <cacheField name="Obitos" numFmtId="0">
      <sharedItems containsSemiMixedTypes="0" containsString="0" containsNumber="1" containsInteger="1" minValue="134" maxValue="479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ike" refreshedDate="46171.77397858796" createdVersion="8" refreshedVersion="8" minRefreshableVersion="3" recordCount="70" xr:uid="{EB299F43-5D29-41E7-B63D-0422DA3CA25A}">
  <cacheSource type="worksheet">
    <worksheetSource name="cv_regiao_15a64"/>
  </cacheSource>
  <cacheFields count="3">
    <cacheField name="Região" numFmtId="0">
      <sharedItems count="5">
        <s v="1 Região Norte"/>
        <s v="2 Região Nordeste"/>
        <s v="3 Região Sudeste"/>
        <s v="4 Região Sul"/>
        <s v="5 Região Centro-Oeste"/>
      </sharedItems>
    </cacheField>
    <cacheField name="Ano" numFmtId="0">
      <sharedItems/>
    </cacheField>
    <cacheField name="Obitos" numFmtId="0">
      <sharedItems containsSemiMixedTypes="0" containsString="0" containsNumber="1" containsInteger="1" minValue="4906" maxValue="5241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ike" refreshedDate="46171.780671875" createdVersion="8" refreshedVersion="8" minRefreshableVersion="3" recordCount="70" xr:uid="{B7D3B308-0D24-44E7-9F09-F0A6F2DB8CDA}">
  <cacheSource type="worksheet">
    <worksheetSource name="Tabela9"/>
  </cacheSource>
  <cacheFields count="5">
    <cacheField name="Regiao" numFmtId="0">
      <sharedItems count="5">
        <s v="Região Norte"/>
        <s v="Região Nordeste"/>
        <s v="Região Sudeste"/>
        <s v="Região Sul"/>
        <s v="Região Centro-Oeste"/>
      </sharedItems>
    </cacheField>
    <cacheField name="Ano" numFmtId="0">
      <sharedItems count="14">
        <s v="2010"/>
        <s v="2011"/>
        <s v="2012"/>
        <s v="2013"/>
        <s v="2014"/>
        <s v="2015"/>
        <s v="2016"/>
        <s v="2017"/>
        <s v="2018"/>
        <s v="2019"/>
        <s v="2020"/>
        <s v="2021"/>
        <s v="2022"/>
        <s v="2023"/>
      </sharedItems>
    </cacheField>
    <cacheField name="Obitos" numFmtId="0">
      <sharedItems containsSemiMixedTypes="0" containsString="0" containsNumber="1" containsInteger="1" minValue="4906" maxValue="52418"/>
    </cacheField>
    <cacheField name="Populacao" numFmtId="0">
      <sharedItems containsSemiMixedTypes="0" containsString="0" containsNumber="1" containsInteger="1" minValue="9921631" maxValue="62472609"/>
    </cacheField>
    <cacheField name="Taxa_100k" numFmtId="2">
      <sharedItems containsSemiMixedTypes="0" containsString="0" containsNumber="1" minValue="46.295003519889953" maxValue="87.05529257590583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ike" refreshedDate="46171.787531712966" createdVersion="8" refreshedVersion="8" minRefreshableVersion="3" recordCount="826" xr:uid="{DFE95F7F-7274-45A7-AC11-C5E29C812ACA}">
  <cacheSource type="worksheet">
    <worksheetSource name="cv_cid_15a64_csv"/>
  </cacheSource>
  <cacheFields count="3">
    <cacheField name="Categoria CID-10" numFmtId="0">
      <sharedItems count="59">
        <s v="I21   Infarto agudo do miocardio"/>
        <s v="I10   Hipertensao essencial"/>
        <s v="I50   Insuf cardiaca"/>
        <s v="I42   Cardiomiopatias"/>
        <s v="I25   Doenc isquemica cronica do coracao"/>
        <s v="I11   Doenc cardiaca hipertensiva"/>
        <s v="I26   Embolia pulmonar"/>
        <s v="I51   Complic cardiopatias doenc cardiacas mal def"/>
        <s v="I12   Doenc renal hipertensiva"/>
        <s v="I49   Outr arritmias cardiacas"/>
        <s v="I24   Outr doenc isquemicas agudas do coracao"/>
        <s v="I80   Flebite e tromboflebite"/>
        <s v="I05   Doenc reumaticas da valva mitral"/>
        <s v="I35   Transt nao-reumaticos da valva aortica"/>
        <s v="I46   Parada cardiaca"/>
        <s v="I13   Doenc cardiaca e renal hipertensiva"/>
        <s v="I48   Flutter e fibrilacao atrial"/>
        <s v="I33   Endocardite aguda e subaguda"/>
        <s v="I27   Outr form de doenc cardiaca pulmonar"/>
        <s v="I62   Outr hemorragias intracranianas nao-traum"/>
        <s v="I38   Endocardite de valva NE"/>
        <s v="I34   Transt nao-reumaticos da valva mitral"/>
        <s v="I73   Outr doenc vasculares perifericas"/>
        <s v="I74   Embolia e trombose arteriais"/>
        <s v="I85   Varizes esofagianas"/>
        <s v="I08   Doenc de mult valvas"/>
        <s v="I31   Outr doenc do pericardio"/>
        <s v="I72   Outr aneurismas"/>
        <s v="I20   Angina pectoris"/>
        <s v="I77   Outr afeccoes das arterias e arteriolas"/>
        <s v="I82   Outr embolia e trombose venosas"/>
        <s v="I09   Outr doenc reumaticas do coracao"/>
        <s v="I70   Aterosclerose"/>
        <s v="I47   Taquicardia paroxistica"/>
        <s v="I44   Bloqueio atrioventricular e do ramo esquerdo"/>
        <s v="I83   Varizes dos membros infer"/>
        <s v="I87   Outr transt das veias"/>
        <s v="I22   Infarto do miocardio recorrente"/>
        <s v="I40   Miocardite aguda"/>
        <s v="I01   Febre reumatica c/compr do coracao"/>
        <s v="I95   Hipotensao"/>
        <s v="I89   Outr transt nao-infecc vasos linf gangl linf"/>
        <s v="I30   Pericardite aguda"/>
        <s v="I06   Doenc reumaticas da valva aortica"/>
        <s v="I81   Trombose da veia porta"/>
        <s v="I07   Doenc reumaticas da valva tricuspide"/>
        <s v="I99   Outr transt do aparelho circulatorio e os NE"/>
        <s v="I00   Febre reumatica s/mencao de compr do coracao"/>
        <s v="I28   Outr doenc dos vasos pulmonares"/>
        <s v="I45   Outr transt de conducao"/>
        <s v="I86   Varizes de outr localiz"/>
        <s v="I36   Transt nao-reumaticos da valva tricuspide"/>
        <s v="I84   Hemorroidas"/>
        <s v="I37   Transt da valva pulmonar"/>
        <s v="I78   Doenc dos capilares"/>
        <s v="I88   Linfadenite inespecifica"/>
        <s v="I02   Coreia reumatica"/>
        <s v="I15   Hipertensao secund"/>
        <s v="I97   Transt aparelho circulat subseq proced NCOP"/>
      </sharedItems>
    </cacheField>
    <cacheField name="Ano" numFmtId="0">
      <sharedItems/>
    </cacheField>
    <cacheField name="Obitos" numFmtId="0">
      <sharedItems containsSemiMixedTypes="0" containsString="0" containsNumber="1" containsInteger="1" minValue="0" maxValue="3413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ike" refreshedDate="46171.795267824076" createdVersion="8" refreshedVersion="8" minRefreshableVersion="3" recordCount="70" xr:uid="{9866FC21-0324-4F47-BA5C-C0E822C15D15}">
  <cacheSource type="worksheet">
    <worksheetSource name="cv_local_15a64"/>
  </cacheSource>
  <cacheFields count="3">
    <cacheField name="Local ocorrência" numFmtId="0">
      <sharedItems count="5">
        <s v="Hospital"/>
        <s v="Outro estabelecimento de saúde"/>
        <s v="Domicílio"/>
        <s v="Via pública"/>
        <s v="Outros"/>
      </sharedItems>
    </cacheField>
    <cacheField name="Ano" numFmtId="0">
      <sharedItems/>
    </cacheField>
    <cacheField name="Obitos" numFmtId="0">
      <sharedItems containsSemiMixedTypes="0" containsString="0" containsNumber="1" containsInteger="1" minValue="1857" maxValue="6827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">
  <r>
    <x v="0"/>
    <x v="0"/>
    <n v="613"/>
  </r>
  <r>
    <x v="0"/>
    <x v="1"/>
    <n v="627"/>
  </r>
  <r>
    <x v="0"/>
    <x v="2"/>
    <n v="713"/>
  </r>
  <r>
    <x v="0"/>
    <x v="3"/>
    <n v="701"/>
  </r>
  <r>
    <x v="0"/>
    <x v="4"/>
    <n v="734"/>
  </r>
  <r>
    <x v="0"/>
    <x v="5"/>
    <n v="730"/>
  </r>
  <r>
    <x v="0"/>
    <x v="6"/>
    <n v="684"/>
  </r>
  <r>
    <x v="0"/>
    <x v="7"/>
    <n v="596"/>
  </r>
  <r>
    <x v="0"/>
    <x v="8"/>
    <n v="552"/>
  </r>
  <r>
    <x v="0"/>
    <x v="9"/>
    <n v="540"/>
  </r>
  <r>
    <x v="0"/>
    <x v="10"/>
    <n v="549"/>
  </r>
  <r>
    <x v="0"/>
    <x v="11"/>
    <n v="499"/>
  </r>
  <r>
    <x v="0"/>
    <x v="12"/>
    <n v="516"/>
  </r>
  <r>
    <x v="0"/>
    <x v="13"/>
    <n v="492"/>
  </r>
  <r>
    <x v="1"/>
    <x v="0"/>
    <n v="975"/>
  </r>
  <r>
    <x v="1"/>
    <x v="1"/>
    <n v="1017"/>
  </r>
  <r>
    <x v="1"/>
    <x v="2"/>
    <n v="1004"/>
  </r>
  <r>
    <x v="1"/>
    <x v="3"/>
    <n v="986"/>
  </r>
  <r>
    <x v="1"/>
    <x v="4"/>
    <n v="1008"/>
  </r>
  <r>
    <x v="1"/>
    <x v="5"/>
    <n v="1046"/>
  </r>
  <r>
    <x v="1"/>
    <x v="6"/>
    <n v="1045"/>
  </r>
  <r>
    <x v="1"/>
    <x v="7"/>
    <n v="1043"/>
  </r>
  <r>
    <x v="1"/>
    <x v="8"/>
    <n v="955"/>
  </r>
  <r>
    <x v="1"/>
    <x v="9"/>
    <n v="1018"/>
  </r>
  <r>
    <x v="1"/>
    <x v="10"/>
    <n v="964"/>
  </r>
  <r>
    <x v="1"/>
    <x v="11"/>
    <n v="1025"/>
  </r>
  <r>
    <x v="1"/>
    <x v="12"/>
    <n v="1034"/>
  </r>
  <r>
    <x v="1"/>
    <x v="13"/>
    <n v="869"/>
  </r>
  <r>
    <x v="2"/>
    <x v="0"/>
    <n v="1629"/>
  </r>
  <r>
    <x v="2"/>
    <x v="1"/>
    <n v="1592"/>
  </r>
  <r>
    <x v="2"/>
    <x v="2"/>
    <n v="1569"/>
  </r>
  <r>
    <x v="2"/>
    <x v="3"/>
    <n v="1527"/>
  </r>
  <r>
    <x v="2"/>
    <x v="4"/>
    <n v="1590"/>
  </r>
  <r>
    <x v="2"/>
    <x v="5"/>
    <n v="1596"/>
  </r>
  <r>
    <x v="2"/>
    <x v="6"/>
    <n v="1598"/>
  </r>
  <r>
    <x v="2"/>
    <x v="7"/>
    <n v="1466"/>
  </r>
  <r>
    <x v="2"/>
    <x v="8"/>
    <n v="1348"/>
  </r>
  <r>
    <x v="2"/>
    <x v="9"/>
    <n v="1443"/>
  </r>
  <r>
    <x v="2"/>
    <x v="10"/>
    <n v="1413"/>
  </r>
  <r>
    <x v="2"/>
    <x v="11"/>
    <n v="1543"/>
  </r>
  <r>
    <x v="2"/>
    <x v="12"/>
    <n v="1624"/>
  </r>
  <r>
    <x v="2"/>
    <x v="13"/>
    <n v="1618"/>
  </r>
  <r>
    <x v="3"/>
    <x v="0"/>
    <n v="2627"/>
  </r>
  <r>
    <x v="3"/>
    <x v="1"/>
    <n v="2604"/>
  </r>
  <r>
    <x v="3"/>
    <x v="2"/>
    <n v="2725"/>
  </r>
  <r>
    <x v="3"/>
    <x v="3"/>
    <n v="2721"/>
  </r>
  <r>
    <x v="3"/>
    <x v="4"/>
    <n v="2738"/>
  </r>
  <r>
    <x v="3"/>
    <x v="5"/>
    <n v="2811"/>
  </r>
  <r>
    <x v="3"/>
    <x v="6"/>
    <n v="2769"/>
  </r>
  <r>
    <x v="3"/>
    <x v="7"/>
    <n v="2439"/>
  </r>
  <r>
    <x v="3"/>
    <x v="8"/>
    <n v="2471"/>
  </r>
  <r>
    <x v="3"/>
    <x v="9"/>
    <n v="2417"/>
  </r>
  <r>
    <x v="3"/>
    <x v="10"/>
    <n v="2340"/>
  </r>
  <r>
    <x v="3"/>
    <x v="11"/>
    <n v="2468"/>
  </r>
  <r>
    <x v="3"/>
    <x v="12"/>
    <n v="2558"/>
  </r>
  <r>
    <x v="3"/>
    <x v="13"/>
    <n v="2658"/>
  </r>
  <r>
    <x v="4"/>
    <x v="0"/>
    <n v="4381"/>
  </r>
  <r>
    <x v="4"/>
    <x v="1"/>
    <n v="4370"/>
  </r>
  <r>
    <x v="4"/>
    <x v="2"/>
    <n v="4401"/>
  </r>
  <r>
    <x v="4"/>
    <x v="3"/>
    <n v="4470"/>
  </r>
  <r>
    <x v="4"/>
    <x v="4"/>
    <n v="4433"/>
  </r>
  <r>
    <x v="4"/>
    <x v="5"/>
    <n v="4583"/>
  </r>
  <r>
    <x v="4"/>
    <x v="6"/>
    <n v="4715"/>
  </r>
  <r>
    <x v="4"/>
    <x v="7"/>
    <n v="4389"/>
  </r>
  <r>
    <x v="4"/>
    <x v="8"/>
    <n v="4396"/>
  </r>
  <r>
    <x v="4"/>
    <x v="9"/>
    <n v="4325"/>
  </r>
  <r>
    <x v="4"/>
    <x v="10"/>
    <n v="4229"/>
  </r>
  <r>
    <x v="4"/>
    <x v="11"/>
    <n v="4448"/>
  </r>
  <r>
    <x v="4"/>
    <x v="12"/>
    <n v="4528"/>
  </r>
  <r>
    <x v="4"/>
    <x v="13"/>
    <n v="4507"/>
  </r>
  <r>
    <x v="5"/>
    <x v="0"/>
    <n v="7656"/>
  </r>
  <r>
    <x v="5"/>
    <x v="1"/>
    <n v="7865"/>
  </r>
  <r>
    <x v="5"/>
    <x v="2"/>
    <n v="7473"/>
  </r>
  <r>
    <x v="5"/>
    <x v="3"/>
    <n v="7428"/>
  </r>
  <r>
    <x v="5"/>
    <x v="4"/>
    <n v="7193"/>
  </r>
  <r>
    <x v="5"/>
    <x v="5"/>
    <n v="7317"/>
  </r>
  <r>
    <x v="5"/>
    <x v="6"/>
    <n v="7397"/>
  </r>
  <r>
    <x v="5"/>
    <x v="7"/>
    <n v="7191"/>
  </r>
  <r>
    <x v="5"/>
    <x v="8"/>
    <n v="7107"/>
  </r>
  <r>
    <x v="5"/>
    <x v="9"/>
    <n v="7198"/>
  </r>
  <r>
    <x v="5"/>
    <x v="10"/>
    <n v="6990"/>
  </r>
  <r>
    <x v="5"/>
    <x v="11"/>
    <n v="7756"/>
  </r>
  <r>
    <x v="5"/>
    <x v="12"/>
    <n v="8169"/>
  </r>
  <r>
    <x v="5"/>
    <x v="13"/>
    <n v="8077"/>
  </r>
  <r>
    <x v="6"/>
    <x v="0"/>
    <n v="12529"/>
  </r>
  <r>
    <x v="6"/>
    <x v="1"/>
    <n v="12607"/>
  </r>
  <r>
    <x v="6"/>
    <x v="2"/>
    <n v="12179"/>
  </r>
  <r>
    <x v="6"/>
    <x v="3"/>
    <n v="12175"/>
  </r>
  <r>
    <x v="6"/>
    <x v="4"/>
    <n v="12056"/>
  </r>
  <r>
    <x v="6"/>
    <x v="5"/>
    <n v="11752"/>
  </r>
  <r>
    <x v="6"/>
    <x v="6"/>
    <n v="12002"/>
  </r>
  <r>
    <x v="6"/>
    <x v="7"/>
    <n v="11395"/>
  </r>
  <r>
    <x v="6"/>
    <x v="8"/>
    <n v="11232"/>
  </r>
  <r>
    <x v="6"/>
    <x v="9"/>
    <n v="11079"/>
  </r>
  <r>
    <x v="6"/>
    <x v="10"/>
    <n v="10752"/>
  </r>
  <r>
    <x v="6"/>
    <x v="11"/>
    <n v="11541"/>
  </r>
  <r>
    <x v="6"/>
    <x v="12"/>
    <n v="12155"/>
  </r>
  <r>
    <x v="6"/>
    <x v="13"/>
    <n v="11907"/>
  </r>
  <r>
    <x v="7"/>
    <x v="0"/>
    <n v="17686"/>
  </r>
  <r>
    <x v="7"/>
    <x v="1"/>
    <n v="18270"/>
  </r>
  <r>
    <x v="7"/>
    <x v="2"/>
    <n v="17782"/>
  </r>
  <r>
    <x v="7"/>
    <x v="3"/>
    <n v="17898"/>
  </r>
  <r>
    <x v="7"/>
    <x v="4"/>
    <n v="17253"/>
  </r>
  <r>
    <x v="7"/>
    <x v="5"/>
    <n v="17806"/>
  </r>
  <r>
    <x v="7"/>
    <x v="6"/>
    <n v="18153"/>
  </r>
  <r>
    <x v="7"/>
    <x v="7"/>
    <n v="17718"/>
  </r>
  <r>
    <x v="7"/>
    <x v="8"/>
    <n v="17614"/>
  </r>
  <r>
    <x v="7"/>
    <x v="9"/>
    <n v="17309"/>
  </r>
  <r>
    <x v="7"/>
    <x v="10"/>
    <n v="16552"/>
  </r>
  <r>
    <x v="7"/>
    <x v="11"/>
    <n v="17046"/>
  </r>
  <r>
    <x v="7"/>
    <x v="12"/>
    <n v="17410"/>
  </r>
  <r>
    <x v="7"/>
    <x v="13"/>
    <n v="17281"/>
  </r>
  <r>
    <x v="8"/>
    <x v="0"/>
    <n v="23338"/>
  </r>
  <r>
    <x v="8"/>
    <x v="1"/>
    <n v="23841"/>
  </r>
  <r>
    <x v="8"/>
    <x v="2"/>
    <n v="23530"/>
  </r>
  <r>
    <x v="8"/>
    <x v="3"/>
    <n v="23974"/>
  </r>
  <r>
    <x v="8"/>
    <x v="4"/>
    <n v="23884"/>
  </r>
  <r>
    <x v="8"/>
    <x v="5"/>
    <n v="24055"/>
  </r>
  <r>
    <x v="8"/>
    <x v="6"/>
    <n v="24968"/>
  </r>
  <r>
    <x v="8"/>
    <x v="7"/>
    <n v="23916"/>
  </r>
  <r>
    <x v="8"/>
    <x v="8"/>
    <n v="23882"/>
  </r>
  <r>
    <x v="8"/>
    <x v="9"/>
    <n v="24152"/>
  </r>
  <r>
    <x v="8"/>
    <x v="10"/>
    <n v="23326"/>
  </r>
  <r>
    <x v="8"/>
    <x v="11"/>
    <n v="24845"/>
  </r>
  <r>
    <x v="8"/>
    <x v="12"/>
    <n v="25593"/>
  </r>
  <r>
    <x v="8"/>
    <x v="13"/>
    <n v="24900"/>
  </r>
  <r>
    <x v="9"/>
    <x v="0"/>
    <n v="28391"/>
  </r>
  <r>
    <x v="9"/>
    <x v="1"/>
    <n v="29263"/>
  </r>
  <r>
    <x v="9"/>
    <x v="2"/>
    <n v="29209"/>
  </r>
  <r>
    <x v="9"/>
    <x v="3"/>
    <n v="29593"/>
  </r>
  <r>
    <x v="9"/>
    <x v="4"/>
    <n v="29815"/>
  </r>
  <r>
    <x v="9"/>
    <x v="5"/>
    <n v="30531"/>
  </r>
  <r>
    <x v="9"/>
    <x v="6"/>
    <n v="32341"/>
  </r>
  <r>
    <x v="9"/>
    <x v="7"/>
    <n v="32189"/>
  </r>
  <r>
    <x v="9"/>
    <x v="8"/>
    <n v="32329"/>
  </r>
  <r>
    <x v="9"/>
    <x v="9"/>
    <n v="32683"/>
  </r>
  <r>
    <x v="9"/>
    <x v="10"/>
    <n v="31688"/>
  </r>
  <r>
    <x v="9"/>
    <x v="11"/>
    <n v="33468"/>
  </r>
  <r>
    <x v="9"/>
    <x v="12"/>
    <n v="34546"/>
  </r>
  <r>
    <x v="9"/>
    <x v="13"/>
    <n v="3387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">
  <r>
    <x v="0"/>
    <x v="0"/>
    <n v="46682"/>
  </r>
  <r>
    <x v="0"/>
    <x v="1"/>
    <n v="46975"/>
  </r>
  <r>
    <x v="0"/>
    <x v="2"/>
    <n v="45969"/>
  </r>
  <r>
    <x v="0"/>
    <x v="3"/>
    <n v="45767"/>
  </r>
  <r>
    <x v="0"/>
    <x v="4"/>
    <n v="44765"/>
  </r>
  <r>
    <x v="0"/>
    <x v="5"/>
    <n v="45365"/>
  </r>
  <r>
    <x v="0"/>
    <x v="6"/>
    <n v="46344"/>
  </r>
  <r>
    <x v="0"/>
    <x v="7"/>
    <n v="44510"/>
  </r>
  <r>
    <x v="0"/>
    <x v="8"/>
    <n v="43831"/>
  </r>
  <r>
    <x v="0"/>
    <x v="9"/>
    <n v="43656"/>
  </r>
  <r>
    <x v="0"/>
    <x v="10"/>
    <n v="40834"/>
  </r>
  <r>
    <x v="0"/>
    <x v="11"/>
    <n v="43405"/>
  </r>
  <r>
    <x v="0"/>
    <x v="12"/>
    <n v="44930"/>
  </r>
  <r>
    <x v="0"/>
    <x v="13"/>
    <n v="43431"/>
  </r>
  <r>
    <x v="1"/>
    <x v="0"/>
    <n v="10569"/>
  </r>
  <r>
    <x v="1"/>
    <x v="1"/>
    <n v="11218"/>
  </r>
  <r>
    <x v="1"/>
    <x v="2"/>
    <n v="10904"/>
  </r>
  <r>
    <x v="1"/>
    <x v="3"/>
    <n v="10850"/>
  </r>
  <r>
    <x v="1"/>
    <x v="4"/>
    <n v="10919"/>
  </r>
  <r>
    <x v="1"/>
    <x v="5"/>
    <n v="10903"/>
  </r>
  <r>
    <x v="1"/>
    <x v="6"/>
    <n v="11287"/>
  </r>
  <r>
    <x v="1"/>
    <x v="7"/>
    <n v="11012"/>
  </r>
  <r>
    <x v="1"/>
    <x v="8"/>
    <n v="11134"/>
  </r>
  <r>
    <x v="1"/>
    <x v="9"/>
    <n v="11386"/>
  </r>
  <r>
    <x v="1"/>
    <x v="10"/>
    <n v="11866"/>
  </r>
  <r>
    <x v="1"/>
    <x v="11"/>
    <n v="12536"/>
  </r>
  <r>
    <x v="1"/>
    <x v="12"/>
    <n v="12885"/>
  </r>
  <r>
    <x v="1"/>
    <x v="13"/>
    <n v="13207"/>
  </r>
  <r>
    <x v="2"/>
    <x v="0"/>
    <n v="340"/>
  </r>
  <r>
    <x v="2"/>
    <x v="1"/>
    <n v="384"/>
  </r>
  <r>
    <x v="2"/>
    <x v="2"/>
    <n v="340"/>
  </r>
  <r>
    <x v="2"/>
    <x v="3"/>
    <n v="382"/>
  </r>
  <r>
    <x v="2"/>
    <x v="4"/>
    <n v="386"/>
  </r>
  <r>
    <x v="2"/>
    <x v="5"/>
    <n v="366"/>
  </r>
  <r>
    <x v="2"/>
    <x v="6"/>
    <n v="383"/>
  </r>
  <r>
    <x v="2"/>
    <x v="7"/>
    <n v="383"/>
  </r>
  <r>
    <x v="2"/>
    <x v="8"/>
    <n v="363"/>
  </r>
  <r>
    <x v="2"/>
    <x v="9"/>
    <n v="359"/>
  </r>
  <r>
    <x v="2"/>
    <x v="10"/>
    <n v="375"/>
  </r>
  <r>
    <x v="2"/>
    <x v="11"/>
    <n v="405"/>
  </r>
  <r>
    <x v="2"/>
    <x v="12"/>
    <n v="410"/>
  </r>
  <r>
    <x v="2"/>
    <x v="13"/>
    <n v="416"/>
  </r>
  <r>
    <x v="3"/>
    <x v="0"/>
    <n v="36222"/>
  </r>
  <r>
    <x v="3"/>
    <x v="1"/>
    <n v="37821"/>
  </r>
  <r>
    <x v="3"/>
    <x v="2"/>
    <n v="38548"/>
  </r>
  <r>
    <x v="3"/>
    <x v="3"/>
    <n v="39574"/>
  </r>
  <r>
    <x v="3"/>
    <x v="4"/>
    <n v="40257"/>
  </r>
  <r>
    <x v="3"/>
    <x v="5"/>
    <n v="41536"/>
  </r>
  <r>
    <x v="3"/>
    <x v="6"/>
    <n v="43952"/>
  </r>
  <r>
    <x v="3"/>
    <x v="7"/>
    <n v="43447"/>
  </r>
  <r>
    <x v="3"/>
    <x v="8"/>
    <n v="43721"/>
  </r>
  <r>
    <x v="3"/>
    <x v="9"/>
    <n v="44150"/>
  </r>
  <r>
    <x v="3"/>
    <x v="10"/>
    <n v="43196"/>
  </r>
  <r>
    <x v="3"/>
    <x v="11"/>
    <n v="45798"/>
  </r>
  <r>
    <x v="3"/>
    <x v="12"/>
    <n v="47906"/>
  </r>
  <r>
    <x v="3"/>
    <x v="13"/>
    <n v="47440"/>
  </r>
  <r>
    <x v="4"/>
    <x v="0"/>
    <n v="155"/>
  </r>
  <r>
    <x v="4"/>
    <x v="1"/>
    <n v="135"/>
  </r>
  <r>
    <x v="4"/>
    <x v="2"/>
    <n v="134"/>
  </r>
  <r>
    <x v="4"/>
    <x v="3"/>
    <n v="166"/>
  </r>
  <r>
    <x v="4"/>
    <x v="4"/>
    <n v="180"/>
  </r>
  <r>
    <x v="4"/>
    <x v="5"/>
    <n v="178"/>
  </r>
  <r>
    <x v="4"/>
    <x v="6"/>
    <n v="188"/>
  </r>
  <r>
    <x v="4"/>
    <x v="7"/>
    <n v="196"/>
  </r>
  <r>
    <x v="4"/>
    <x v="8"/>
    <n v="209"/>
  </r>
  <r>
    <x v="4"/>
    <x v="9"/>
    <n v="232"/>
  </r>
  <r>
    <x v="4"/>
    <x v="10"/>
    <n v="230"/>
  </r>
  <r>
    <x v="4"/>
    <x v="11"/>
    <n v="286"/>
  </r>
  <r>
    <x v="4"/>
    <x v="12"/>
    <n v="287"/>
  </r>
  <r>
    <x v="4"/>
    <x v="13"/>
    <n v="287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">
  <r>
    <x v="0"/>
    <s v="2010"/>
    <n v="4906"/>
  </r>
  <r>
    <x v="0"/>
    <s v="2011"/>
    <n v="5056"/>
  </r>
  <r>
    <x v="0"/>
    <s v="2012"/>
    <n v="5078"/>
  </r>
  <r>
    <x v="0"/>
    <s v="2013"/>
    <n v="5146"/>
  </r>
  <r>
    <x v="0"/>
    <s v="2014"/>
    <n v="5450"/>
  </r>
  <r>
    <x v="0"/>
    <s v="2015"/>
    <n v="5603"/>
  </r>
  <r>
    <x v="0"/>
    <s v="2016"/>
    <n v="5690"/>
  </r>
  <r>
    <x v="0"/>
    <s v="2017"/>
    <n v="5828"/>
  </r>
  <r>
    <x v="0"/>
    <s v="2018"/>
    <n v="5670"/>
  </r>
  <r>
    <x v="0"/>
    <s v="2019"/>
    <n v="6001"/>
  </r>
  <r>
    <x v="0"/>
    <s v="2020"/>
    <n v="5984"/>
  </r>
  <r>
    <x v="0"/>
    <s v="2021"/>
    <n v="6373"/>
  </r>
  <r>
    <x v="0"/>
    <s v="2022"/>
    <n v="6520"/>
  </r>
  <r>
    <x v="0"/>
    <s v="2023"/>
    <n v="6729"/>
  </r>
  <r>
    <x v="1"/>
    <s v="2010"/>
    <n v="23649"/>
  </r>
  <r>
    <x v="1"/>
    <s v="2011"/>
    <n v="24743"/>
  </r>
  <r>
    <x v="1"/>
    <s v="2012"/>
    <n v="24736"/>
  </r>
  <r>
    <x v="1"/>
    <s v="2013"/>
    <n v="24586"/>
  </r>
  <r>
    <x v="1"/>
    <s v="2014"/>
    <n v="24788"/>
  </r>
  <r>
    <x v="1"/>
    <s v="2015"/>
    <n v="25213"/>
  </r>
  <r>
    <x v="1"/>
    <s v="2016"/>
    <n v="26021"/>
  </r>
  <r>
    <x v="1"/>
    <s v="2017"/>
    <n v="25852"/>
  </r>
  <r>
    <x v="1"/>
    <s v="2018"/>
    <n v="25789"/>
  </r>
  <r>
    <x v="1"/>
    <s v="2019"/>
    <n v="26111"/>
  </r>
  <r>
    <x v="1"/>
    <s v="2020"/>
    <n v="25369"/>
  </r>
  <r>
    <x v="1"/>
    <s v="2021"/>
    <n v="26347"/>
  </r>
  <r>
    <x v="1"/>
    <s v="2022"/>
    <n v="27583"/>
  </r>
  <r>
    <x v="1"/>
    <s v="2023"/>
    <n v="28134"/>
  </r>
  <r>
    <x v="2"/>
    <s v="2010"/>
    <n v="49715"/>
  </r>
  <r>
    <x v="2"/>
    <s v="2011"/>
    <n v="50354"/>
  </r>
  <r>
    <x v="2"/>
    <s v="2012"/>
    <n v="49433"/>
  </r>
  <r>
    <x v="2"/>
    <s v="2013"/>
    <n v="50067"/>
  </r>
  <r>
    <x v="2"/>
    <s v="2014"/>
    <n v="49433"/>
  </r>
  <r>
    <x v="2"/>
    <s v="2015"/>
    <n v="50305"/>
  </r>
  <r>
    <x v="2"/>
    <s v="2016"/>
    <n v="52418"/>
  </r>
  <r>
    <x v="2"/>
    <s v="2017"/>
    <n v="49715"/>
  </r>
  <r>
    <x v="2"/>
    <s v="2018"/>
    <n v="49601"/>
  </r>
  <r>
    <x v="2"/>
    <s v="2019"/>
    <n v="49707"/>
  </r>
  <r>
    <x v="2"/>
    <s v="2020"/>
    <n v="47104"/>
  </r>
  <r>
    <x v="2"/>
    <s v="2021"/>
    <n v="49791"/>
  </r>
  <r>
    <x v="2"/>
    <s v="2022"/>
    <n v="51219"/>
  </r>
  <r>
    <x v="2"/>
    <s v="2023"/>
    <n v="49707"/>
  </r>
  <r>
    <x v="3"/>
    <s v="2010"/>
    <n v="14378"/>
  </r>
  <r>
    <x v="3"/>
    <s v="2011"/>
    <n v="14670"/>
  </r>
  <r>
    <x v="3"/>
    <s v="2012"/>
    <n v="13993"/>
  </r>
  <r>
    <x v="3"/>
    <s v="2013"/>
    <n v="14195"/>
  </r>
  <r>
    <x v="3"/>
    <s v="2014"/>
    <n v="13772"/>
  </r>
  <r>
    <x v="3"/>
    <s v="2015"/>
    <n v="13872"/>
  </r>
  <r>
    <x v="3"/>
    <s v="2016"/>
    <n v="14286"/>
  </r>
  <r>
    <x v="3"/>
    <s v="2017"/>
    <n v="13609"/>
  </r>
  <r>
    <x v="3"/>
    <s v="2018"/>
    <n v="13392"/>
  </r>
  <r>
    <x v="3"/>
    <s v="2019"/>
    <n v="13125"/>
  </r>
  <r>
    <x v="3"/>
    <s v="2020"/>
    <n v="12923"/>
  </r>
  <r>
    <x v="3"/>
    <s v="2021"/>
    <n v="13926"/>
  </r>
  <r>
    <x v="3"/>
    <s v="2022"/>
    <n v="14612"/>
  </r>
  <r>
    <x v="3"/>
    <s v="2023"/>
    <n v="13712"/>
  </r>
  <r>
    <x v="4"/>
    <s v="2010"/>
    <n v="7177"/>
  </r>
  <r>
    <x v="4"/>
    <s v="2011"/>
    <n v="7233"/>
  </r>
  <r>
    <x v="4"/>
    <s v="2012"/>
    <n v="7345"/>
  </r>
  <r>
    <x v="4"/>
    <s v="2013"/>
    <n v="7479"/>
  </r>
  <r>
    <x v="4"/>
    <s v="2014"/>
    <n v="7261"/>
  </r>
  <r>
    <x v="4"/>
    <s v="2015"/>
    <n v="7234"/>
  </r>
  <r>
    <x v="4"/>
    <s v="2016"/>
    <n v="7257"/>
  </r>
  <r>
    <x v="4"/>
    <s v="2017"/>
    <n v="7338"/>
  </r>
  <r>
    <x v="4"/>
    <s v="2018"/>
    <n v="7434"/>
  </r>
  <r>
    <x v="4"/>
    <s v="2019"/>
    <n v="7220"/>
  </r>
  <r>
    <x v="4"/>
    <s v="2020"/>
    <n v="7423"/>
  </r>
  <r>
    <x v="4"/>
    <s v="2021"/>
    <n v="8202"/>
  </r>
  <r>
    <x v="4"/>
    <s v="2022"/>
    <n v="8199"/>
  </r>
  <r>
    <x v="4"/>
    <s v="2023"/>
    <n v="790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">
  <r>
    <x v="0"/>
    <x v="0"/>
    <n v="4906"/>
    <n v="10319281"/>
    <n v="47.542071971874783"/>
  </r>
  <r>
    <x v="0"/>
    <x v="1"/>
    <n v="5056"/>
    <n v="10567702"/>
    <n v="47.843892645723734"/>
  </r>
  <r>
    <x v="0"/>
    <x v="2"/>
    <n v="5078"/>
    <n v="10819204"/>
    <n v="46.935061026670724"/>
  </r>
  <r>
    <x v="0"/>
    <x v="3"/>
    <n v="5146"/>
    <n v="11070513"/>
    <n v="46.483844063956205"/>
  </r>
  <r>
    <x v="0"/>
    <x v="4"/>
    <n v="5450"/>
    <n v="11316733"/>
    <n v="48.158775151803972"/>
  </r>
  <r>
    <x v="0"/>
    <x v="5"/>
    <n v="5603"/>
    <n v="11555104"/>
    <n v="48.489394816351286"/>
  </r>
  <r>
    <x v="0"/>
    <x v="6"/>
    <n v="5690"/>
    <n v="11789579"/>
    <n v="48.262961722382116"/>
  </r>
  <r>
    <x v="0"/>
    <x v="7"/>
    <n v="5828"/>
    <n v="12018723"/>
    <n v="48.49100857054448"/>
  </r>
  <r>
    <x v="0"/>
    <x v="8"/>
    <n v="5670"/>
    <n v="12247542"/>
    <n v="46.295003519889953"/>
  </r>
  <r>
    <x v="0"/>
    <x v="9"/>
    <n v="6001"/>
    <n v="12467735"/>
    <n v="48.132238935139377"/>
  </r>
  <r>
    <x v="0"/>
    <x v="10"/>
    <n v="5984"/>
    <n v="12679050"/>
    <n v="47.195964997377565"/>
  </r>
  <r>
    <x v="0"/>
    <x v="11"/>
    <n v="6373"/>
    <n v="12885637"/>
    <n v="49.458168036240664"/>
  </r>
  <r>
    <x v="0"/>
    <x v="12"/>
    <n v="6520"/>
    <n v="13080817"/>
    <n v="49.843981457733108"/>
  </r>
  <r>
    <x v="0"/>
    <x v="13"/>
    <n v="6729"/>
    <n v="13266357"/>
    <n v="50.722289472535671"/>
  </r>
  <r>
    <x v="1"/>
    <x v="0"/>
    <n v="23649"/>
    <n v="35647276"/>
    <n v="66.341675027286797"/>
  </r>
  <r>
    <x v="1"/>
    <x v="1"/>
    <n v="24743"/>
    <n v="36124857"/>
    <n v="68.493004692032414"/>
  </r>
  <r>
    <x v="1"/>
    <x v="2"/>
    <n v="24736"/>
    <n v="36600347"/>
    <n v="67.584058697585576"/>
  </r>
  <r>
    <x v="1"/>
    <x v="3"/>
    <n v="24586"/>
    <n v="37065985"/>
    <n v="66.330356524991842"/>
  </r>
  <r>
    <x v="1"/>
    <x v="4"/>
    <n v="24788"/>
    <n v="37510048"/>
    <n v="66.083626445905907"/>
  </r>
  <r>
    <x v="1"/>
    <x v="5"/>
    <n v="25213"/>
    <n v="37924693"/>
    <n v="66.481751084972529"/>
  </r>
  <r>
    <x v="1"/>
    <x v="6"/>
    <n v="26021"/>
    <n v="38304442"/>
    <n v="67.932069079612234"/>
  </r>
  <r>
    <x v="1"/>
    <x v="7"/>
    <n v="25852"/>
    <n v="38643818"/>
    <n v="66.898151730245701"/>
  </r>
  <r>
    <x v="1"/>
    <x v="8"/>
    <n v="25789"/>
    <n v="38968163"/>
    <n v="66.179665692734872"/>
  </r>
  <r>
    <x v="1"/>
    <x v="9"/>
    <n v="26111"/>
    <n v="39270014"/>
    <n v="66.490936315938157"/>
  </r>
  <r>
    <x v="1"/>
    <x v="10"/>
    <n v="25369"/>
    <n v="39556232"/>
    <n v="64.134015595823186"/>
  </r>
  <r>
    <x v="1"/>
    <x v="11"/>
    <n v="26347"/>
    <n v="39822704"/>
    <n v="66.160750912343872"/>
  </r>
  <r>
    <x v="1"/>
    <x v="12"/>
    <n v="27583"/>
    <n v="40052367"/>
    <n v="68.86734059937082"/>
  </r>
  <r>
    <x v="1"/>
    <x v="13"/>
    <n v="28134"/>
    <n v="40258917"/>
    <n v="69.882654816571446"/>
  </r>
  <r>
    <x v="2"/>
    <x v="0"/>
    <n v="49715"/>
    <n v="57164803"/>
    <n v="86.967849779872409"/>
  </r>
  <r>
    <x v="2"/>
    <x v="1"/>
    <n v="50354"/>
    <n v="57841400"/>
    <n v="87.055292575905838"/>
  </r>
  <r>
    <x v="2"/>
    <x v="2"/>
    <n v="49433"/>
    <n v="58502281"/>
    <n v="84.497560018215367"/>
  </r>
  <r>
    <x v="2"/>
    <x v="3"/>
    <n v="50067"/>
    <n v="59134529"/>
    <n v="84.666270023052007"/>
  </r>
  <r>
    <x v="2"/>
    <x v="4"/>
    <n v="49433"/>
    <n v="59717845"/>
    <n v="82.777601904422369"/>
  </r>
  <r>
    <x v="2"/>
    <x v="5"/>
    <n v="50305"/>
    <n v="60239414"/>
    <n v="83.5084484719589"/>
  </r>
  <r>
    <x v="2"/>
    <x v="6"/>
    <n v="52418"/>
    <n v="60713052"/>
    <n v="86.337283785371227"/>
  </r>
  <r>
    <x v="2"/>
    <x v="7"/>
    <n v="49715"/>
    <n v="61100338"/>
    <n v="81.366162000609549"/>
  </r>
  <r>
    <x v="2"/>
    <x v="8"/>
    <n v="49601"/>
    <n v="61433409"/>
    <n v="80.739455627474626"/>
  </r>
  <r>
    <x v="2"/>
    <x v="9"/>
    <n v="49707"/>
    <n v="61728926"/>
    <n v="80.524647391402866"/>
  </r>
  <r>
    <x v="2"/>
    <x v="10"/>
    <n v="47104"/>
    <n v="61987314"/>
    <n v="75.98974203011926"/>
  </r>
  <r>
    <x v="2"/>
    <x v="11"/>
    <n v="49791"/>
    <n v="62194943"/>
    <n v="80.056347989578512"/>
  </r>
  <r>
    <x v="2"/>
    <x v="12"/>
    <n v="51219"/>
    <n v="62349200"/>
    <n v="82.148608161772728"/>
  </r>
  <r>
    <x v="2"/>
    <x v="13"/>
    <n v="49707"/>
    <n v="62472609"/>
    <n v="79.56607030770877"/>
  </r>
  <r>
    <x v="3"/>
    <x v="0"/>
    <n v="14378"/>
    <n v="19445728"/>
    <n v="73.939119173116069"/>
  </r>
  <r>
    <x v="3"/>
    <x v="1"/>
    <n v="14670"/>
    <n v="19674714"/>
    <n v="74.562710288952616"/>
  </r>
  <r>
    <x v="3"/>
    <x v="2"/>
    <n v="13993"/>
    <n v="19893273"/>
    <n v="70.340360784271141"/>
  </r>
  <r>
    <x v="3"/>
    <x v="3"/>
    <n v="14195"/>
    <n v="20097776"/>
    <n v="70.629705495772271"/>
  </r>
  <r>
    <x v="3"/>
    <x v="4"/>
    <n v="13772"/>
    <n v="20283064"/>
    <n v="67.899011707501387"/>
  </r>
  <r>
    <x v="3"/>
    <x v="5"/>
    <n v="13872"/>
    <n v="20445954"/>
    <n v="67.847164284924048"/>
  </r>
  <r>
    <x v="3"/>
    <x v="6"/>
    <n v="14286"/>
    <n v="20593060"/>
    <n v="69.372885816872284"/>
  </r>
  <r>
    <x v="3"/>
    <x v="7"/>
    <n v="13609"/>
    <n v="20705900"/>
    <n v="65.725228075089717"/>
  </r>
  <r>
    <x v="3"/>
    <x v="8"/>
    <n v="13392"/>
    <n v="20795076"/>
    <n v="64.399860813204057"/>
  </r>
  <r>
    <x v="3"/>
    <x v="9"/>
    <n v="13125"/>
    <n v="20870911"/>
    <n v="62.886569733348004"/>
  </r>
  <r>
    <x v="3"/>
    <x v="10"/>
    <n v="12923"/>
    <n v="20940896"/>
    <n v="61.711781578018446"/>
  </r>
  <r>
    <x v="3"/>
    <x v="11"/>
    <n v="13926"/>
    <n v="20994567"/>
    <n v="66.331446607115069"/>
  </r>
  <r>
    <x v="3"/>
    <x v="12"/>
    <n v="14612"/>
    <n v="21025046"/>
    <n v="69.498064356196892"/>
  </r>
  <r>
    <x v="3"/>
    <x v="13"/>
    <n v="13712"/>
    <n v="21042263"/>
    <n v="65.164093804929635"/>
  </r>
  <r>
    <x v="4"/>
    <x v="0"/>
    <n v="7177"/>
    <n v="9921631"/>
    <n v="72.33689702832126"/>
  </r>
  <r>
    <x v="4"/>
    <x v="1"/>
    <n v="7233"/>
    <n v="10119024"/>
    <n v="71.479225664451434"/>
  </r>
  <r>
    <x v="4"/>
    <x v="2"/>
    <n v="7345"/>
    <n v="10312871"/>
    <n v="71.221680170342481"/>
  </r>
  <r>
    <x v="4"/>
    <x v="3"/>
    <n v="7479"/>
    <n v="10501697"/>
    <n v="71.217061394934547"/>
  </r>
  <r>
    <x v="4"/>
    <x v="4"/>
    <n v="7261"/>
    <n v="10683260"/>
    <n v="67.966145165427037"/>
  </r>
  <r>
    <x v="4"/>
    <x v="5"/>
    <n v="7234"/>
    <n v="10856106"/>
    <n v="66.635311040625425"/>
  </r>
  <r>
    <x v="4"/>
    <x v="6"/>
    <n v="7257"/>
    <n v="11016654"/>
    <n v="65.87299555745328"/>
  </r>
  <r>
    <x v="4"/>
    <x v="7"/>
    <n v="7338"/>
    <n v="11168820"/>
    <n v="65.700763375181978"/>
  </r>
  <r>
    <x v="4"/>
    <x v="8"/>
    <n v="7434"/>
    <n v="11315468"/>
    <n v="65.697680378752338"/>
  </r>
  <r>
    <x v="4"/>
    <x v="9"/>
    <n v="7220"/>
    <n v="11456234"/>
    <n v="63.022455721487532"/>
  </r>
  <r>
    <x v="4"/>
    <x v="10"/>
    <n v="7423"/>
    <n v="11592751"/>
    <n v="64.031393411279169"/>
  </r>
  <r>
    <x v="4"/>
    <x v="11"/>
    <n v="8202"/>
    <n v="11721889"/>
    <n v="69.971657298580453"/>
  </r>
  <r>
    <x v="4"/>
    <x v="12"/>
    <n v="8199"/>
    <n v="11837014"/>
    <n v="69.265779359558081"/>
  </r>
  <r>
    <x v="4"/>
    <x v="13"/>
    <n v="7900"/>
    <n v="11944899"/>
    <n v="66.137017985669033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26">
  <r>
    <x v="0"/>
    <s v="2010"/>
    <n v="30792"/>
  </r>
  <r>
    <x v="0"/>
    <s v="2011"/>
    <n v="31642"/>
  </r>
  <r>
    <x v="0"/>
    <s v="2012"/>
    <n v="31644"/>
  </r>
  <r>
    <x v="0"/>
    <s v="2013"/>
    <n v="31949"/>
  </r>
  <r>
    <x v="0"/>
    <s v="2014"/>
    <n v="32337"/>
  </r>
  <r>
    <x v="0"/>
    <s v="2015"/>
    <n v="33023"/>
  </r>
  <r>
    <x v="0"/>
    <s v="2016"/>
    <n v="34131"/>
  </r>
  <r>
    <x v="0"/>
    <s v="2017"/>
    <n v="33173"/>
  </r>
  <r>
    <x v="0"/>
    <s v="2018"/>
    <n v="33136"/>
  </r>
  <r>
    <x v="0"/>
    <s v="2019"/>
    <n v="33568"/>
  </r>
  <r>
    <x v="0"/>
    <s v="2020"/>
    <n v="31334"/>
  </r>
  <r>
    <x v="0"/>
    <s v="2021"/>
    <n v="32659"/>
  </r>
  <r>
    <x v="0"/>
    <s v="2022"/>
    <n v="33988"/>
  </r>
  <r>
    <x v="0"/>
    <s v="2023"/>
    <n v="32747"/>
  </r>
  <r>
    <x v="1"/>
    <s v="2010"/>
    <n v="5950"/>
  </r>
  <r>
    <x v="1"/>
    <s v="2011"/>
    <n v="6099"/>
  </r>
  <r>
    <x v="1"/>
    <s v="2012"/>
    <n v="5870"/>
  </r>
  <r>
    <x v="1"/>
    <s v="2013"/>
    <n v="5778"/>
  </r>
  <r>
    <x v="1"/>
    <s v="2014"/>
    <n v="5472"/>
  </r>
  <r>
    <x v="1"/>
    <s v="2015"/>
    <n v="5641"/>
  </r>
  <r>
    <x v="1"/>
    <s v="2016"/>
    <n v="6012"/>
  </r>
  <r>
    <x v="1"/>
    <s v="2017"/>
    <n v="6000"/>
  </r>
  <r>
    <x v="1"/>
    <s v="2018"/>
    <n v="5914"/>
  </r>
  <r>
    <x v="1"/>
    <s v="2019"/>
    <n v="5963"/>
  </r>
  <r>
    <x v="1"/>
    <s v="2020"/>
    <n v="8857"/>
  </r>
  <r>
    <x v="1"/>
    <s v="2021"/>
    <n v="9312"/>
  </r>
  <r>
    <x v="1"/>
    <s v="2022"/>
    <n v="8290"/>
  </r>
  <r>
    <x v="1"/>
    <s v="2023"/>
    <n v="7167"/>
  </r>
  <r>
    <x v="2"/>
    <s v="2010"/>
    <n v="5736"/>
  </r>
  <r>
    <x v="2"/>
    <s v="2011"/>
    <n v="5723"/>
  </r>
  <r>
    <x v="2"/>
    <s v="2012"/>
    <n v="5543"/>
  </r>
  <r>
    <x v="2"/>
    <s v="2013"/>
    <n v="5561"/>
  </r>
  <r>
    <x v="2"/>
    <s v="2014"/>
    <n v="5231"/>
  </r>
  <r>
    <x v="2"/>
    <s v="2015"/>
    <n v="5361"/>
  </r>
  <r>
    <x v="2"/>
    <s v="2016"/>
    <n v="5749"/>
  </r>
  <r>
    <x v="2"/>
    <s v="2017"/>
    <n v="5258"/>
  </r>
  <r>
    <x v="2"/>
    <s v="2018"/>
    <n v="5189"/>
  </r>
  <r>
    <x v="2"/>
    <s v="2019"/>
    <n v="5195"/>
  </r>
  <r>
    <x v="2"/>
    <s v="2020"/>
    <n v="5462"/>
  </r>
  <r>
    <x v="2"/>
    <s v="2021"/>
    <n v="6092"/>
  </r>
  <r>
    <x v="2"/>
    <s v="2022"/>
    <n v="6230"/>
  </r>
  <r>
    <x v="2"/>
    <s v="2023"/>
    <n v="5922"/>
  </r>
  <r>
    <x v="3"/>
    <s v="2010"/>
    <n v="5336"/>
  </r>
  <r>
    <x v="3"/>
    <s v="2011"/>
    <n v="5132"/>
  </r>
  <r>
    <x v="3"/>
    <s v="2012"/>
    <n v="5000"/>
  </r>
  <r>
    <x v="3"/>
    <s v="2013"/>
    <n v="5494"/>
  </r>
  <r>
    <x v="3"/>
    <s v="2014"/>
    <n v="5755"/>
  </r>
  <r>
    <x v="3"/>
    <s v="2015"/>
    <n v="5846"/>
  </r>
  <r>
    <x v="3"/>
    <s v="2016"/>
    <n v="5768"/>
  </r>
  <r>
    <x v="3"/>
    <s v="2017"/>
    <n v="4995"/>
  </r>
  <r>
    <x v="3"/>
    <s v="2018"/>
    <n v="5199"/>
  </r>
  <r>
    <x v="3"/>
    <s v="2019"/>
    <n v="5091"/>
  </r>
  <r>
    <x v="3"/>
    <s v="2020"/>
    <n v="3410"/>
  </r>
  <r>
    <x v="3"/>
    <s v="2021"/>
    <n v="3779"/>
  </r>
  <r>
    <x v="3"/>
    <s v="2022"/>
    <n v="4557"/>
  </r>
  <r>
    <x v="3"/>
    <s v="2023"/>
    <n v="4528"/>
  </r>
  <r>
    <x v="4"/>
    <s v="2010"/>
    <n v="4218"/>
  </r>
  <r>
    <x v="4"/>
    <s v="2011"/>
    <n v="4505"/>
  </r>
  <r>
    <x v="4"/>
    <s v="2012"/>
    <n v="4415"/>
  </r>
  <r>
    <x v="4"/>
    <s v="2013"/>
    <n v="4669"/>
  </r>
  <r>
    <x v="4"/>
    <s v="2014"/>
    <n v="4486"/>
  </r>
  <r>
    <x v="4"/>
    <s v="2015"/>
    <n v="4665"/>
  </r>
  <r>
    <x v="4"/>
    <s v="2016"/>
    <n v="4901"/>
  </r>
  <r>
    <x v="4"/>
    <s v="2017"/>
    <n v="4950"/>
  </r>
  <r>
    <x v="4"/>
    <s v="2018"/>
    <n v="4858"/>
  </r>
  <r>
    <x v="4"/>
    <s v="2019"/>
    <n v="4884"/>
  </r>
  <r>
    <x v="4"/>
    <s v="2020"/>
    <n v="4033"/>
  </r>
  <r>
    <x v="4"/>
    <s v="2021"/>
    <n v="4065"/>
  </r>
  <r>
    <x v="4"/>
    <s v="2022"/>
    <n v="4736"/>
  </r>
  <r>
    <x v="4"/>
    <s v="2023"/>
    <n v="5140"/>
  </r>
  <r>
    <x v="5"/>
    <s v="2010"/>
    <n v="4096"/>
  </r>
  <r>
    <x v="5"/>
    <s v="2011"/>
    <n v="3971"/>
  </r>
  <r>
    <x v="5"/>
    <s v="2012"/>
    <n v="3779"/>
  </r>
  <r>
    <x v="5"/>
    <s v="2013"/>
    <n v="3801"/>
  </r>
  <r>
    <x v="5"/>
    <s v="2014"/>
    <n v="3532"/>
  </r>
  <r>
    <x v="5"/>
    <s v="2015"/>
    <n v="3501"/>
  </r>
  <r>
    <x v="5"/>
    <s v="2016"/>
    <n v="3821"/>
  </r>
  <r>
    <x v="5"/>
    <s v="2017"/>
    <n v="3967"/>
  </r>
  <r>
    <x v="5"/>
    <s v="2018"/>
    <n v="3999"/>
  </r>
  <r>
    <x v="5"/>
    <s v="2019"/>
    <n v="3942"/>
  </r>
  <r>
    <x v="5"/>
    <s v="2020"/>
    <n v="3796"/>
  </r>
  <r>
    <x v="5"/>
    <s v="2021"/>
    <n v="3850"/>
  </r>
  <r>
    <x v="5"/>
    <s v="2022"/>
    <n v="3969"/>
  </r>
  <r>
    <x v="5"/>
    <s v="2023"/>
    <n v="3998"/>
  </r>
  <r>
    <x v="6"/>
    <s v="2010"/>
    <n v="1687"/>
  </r>
  <r>
    <x v="6"/>
    <s v="2011"/>
    <n v="1874"/>
  </r>
  <r>
    <x v="6"/>
    <s v="2012"/>
    <n v="2072"/>
  </r>
  <r>
    <x v="6"/>
    <s v="2013"/>
    <n v="2165"/>
  </r>
  <r>
    <x v="6"/>
    <s v="2014"/>
    <n v="2368"/>
  </r>
  <r>
    <x v="6"/>
    <s v="2015"/>
    <n v="2605"/>
  </r>
  <r>
    <x v="6"/>
    <s v="2016"/>
    <n v="2731"/>
  </r>
  <r>
    <x v="6"/>
    <s v="2017"/>
    <n v="2482"/>
  </r>
  <r>
    <x v="6"/>
    <s v="2018"/>
    <n v="2504"/>
  </r>
  <r>
    <x v="6"/>
    <s v="2019"/>
    <n v="2706"/>
  </r>
  <r>
    <x v="6"/>
    <s v="2020"/>
    <n v="2095"/>
  </r>
  <r>
    <x v="6"/>
    <s v="2021"/>
    <n v="2761"/>
  </r>
  <r>
    <x v="6"/>
    <s v="2022"/>
    <n v="3143"/>
  </r>
  <r>
    <x v="6"/>
    <s v="2023"/>
    <n v="3347"/>
  </r>
  <r>
    <x v="7"/>
    <s v="2010"/>
    <n v="1810"/>
  </r>
  <r>
    <x v="7"/>
    <s v="2011"/>
    <n v="1803"/>
  </r>
  <r>
    <x v="7"/>
    <s v="2012"/>
    <n v="1774"/>
  </r>
  <r>
    <x v="7"/>
    <s v="2013"/>
    <n v="1944"/>
  </r>
  <r>
    <x v="7"/>
    <s v="2014"/>
    <n v="1880"/>
  </r>
  <r>
    <x v="7"/>
    <s v="2015"/>
    <n v="1922"/>
  </r>
  <r>
    <x v="7"/>
    <s v="2016"/>
    <n v="1827"/>
  </r>
  <r>
    <x v="7"/>
    <s v="2017"/>
    <n v="1626"/>
  </r>
  <r>
    <x v="7"/>
    <s v="2018"/>
    <n v="1475"/>
  </r>
  <r>
    <x v="7"/>
    <s v="2019"/>
    <n v="1352"/>
  </r>
  <r>
    <x v="7"/>
    <s v="2020"/>
    <n v="1277"/>
  </r>
  <r>
    <x v="7"/>
    <s v="2021"/>
    <n v="1279"/>
  </r>
  <r>
    <x v="7"/>
    <s v="2022"/>
    <n v="1316"/>
  </r>
  <r>
    <x v="7"/>
    <s v="2023"/>
    <n v="1467"/>
  </r>
  <r>
    <x v="8"/>
    <s v="2010"/>
    <n v="1361"/>
  </r>
  <r>
    <x v="8"/>
    <s v="2011"/>
    <n v="1496"/>
  </r>
  <r>
    <x v="8"/>
    <s v="2012"/>
    <n v="1289"/>
  </r>
  <r>
    <x v="8"/>
    <s v="2013"/>
    <n v="1351"/>
  </r>
  <r>
    <x v="8"/>
    <s v="2014"/>
    <n v="1340"/>
  </r>
  <r>
    <x v="8"/>
    <s v="2015"/>
    <n v="1305"/>
  </r>
  <r>
    <x v="8"/>
    <s v="2016"/>
    <n v="1392"/>
  </r>
  <r>
    <x v="8"/>
    <s v="2017"/>
    <n v="1469"/>
  </r>
  <r>
    <x v="8"/>
    <s v="2018"/>
    <n v="1347"/>
  </r>
  <r>
    <x v="8"/>
    <s v="2019"/>
    <n v="1299"/>
  </r>
  <r>
    <x v="8"/>
    <s v="2020"/>
    <n v="1436"/>
  </r>
  <r>
    <x v="8"/>
    <s v="2021"/>
    <n v="1496"/>
  </r>
  <r>
    <x v="8"/>
    <s v="2022"/>
    <n v="1307"/>
  </r>
  <r>
    <x v="8"/>
    <s v="2023"/>
    <n v="1344"/>
  </r>
  <r>
    <x v="9"/>
    <s v="2010"/>
    <n v="982"/>
  </r>
  <r>
    <x v="9"/>
    <s v="2011"/>
    <n v="979"/>
  </r>
  <r>
    <x v="9"/>
    <s v="2012"/>
    <n v="925"/>
  </r>
  <r>
    <x v="9"/>
    <s v="2013"/>
    <n v="924"/>
  </r>
  <r>
    <x v="9"/>
    <s v="2014"/>
    <n v="892"/>
  </r>
  <r>
    <x v="9"/>
    <s v="2015"/>
    <n v="933"/>
  </r>
  <r>
    <x v="9"/>
    <s v="2016"/>
    <n v="911"/>
  </r>
  <r>
    <x v="9"/>
    <s v="2017"/>
    <n v="745"/>
  </r>
  <r>
    <x v="9"/>
    <s v="2018"/>
    <n v="739"/>
  </r>
  <r>
    <x v="9"/>
    <s v="2019"/>
    <n v="815"/>
  </r>
  <r>
    <x v="9"/>
    <s v="2020"/>
    <n v="925"/>
  </r>
  <r>
    <x v="9"/>
    <s v="2021"/>
    <n v="983"/>
  </r>
  <r>
    <x v="9"/>
    <s v="2022"/>
    <n v="903"/>
  </r>
  <r>
    <x v="9"/>
    <s v="2023"/>
    <n v="824"/>
  </r>
  <r>
    <x v="10"/>
    <s v="2010"/>
    <n v="1058"/>
  </r>
  <r>
    <x v="10"/>
    <s v="2011"/>
    <n v="944"/>
  </r>
  <r>
    <x v="10"/>
    <s v="2012"/>
    <n v="888"/>
  </r>
  <r>
    <x v="10"/>
    <s v="2013"/>
    <n v="871"/>
  </r>
  <r>
    <x v="10"/>
    <s v="2014"/>
    <n v="774"/>
  </r>
  <r>
    <x v="10"/>
    <s v="2015"/>
    <n v="751"/>
  </r>
  <r>
    <x v="10"/>
    <s v="2016"/>
    <n v="765"/>
  </r>
  <r>
    <x v="10"/>
    <s v="2017"/>
    <n v="724"/>
  </r>
  <r>
    <x v="10"/>
    <s v="2018"/>
    <n v="664"/>
  </r>
  <r>
    <x v="10"/>
    <s v="2019"/>
    <n v="697"/>
  </r>
  <r>
    <x v="10"/>
    <s v="2020"/>
    <n v="820"/>
  </r>
  <r>
    <x v="10"/>
    <s v="2021"/>
    <n v="842"/>
  </r>
  <r>
    <x v="10"/>
    <s v="2022"/>
    <n v="851"/>
  </r>
  <r>
    <x v="10"/>
    <s v="2023"/>
    <n v="787"/>
  </r>
  <r>
    <x v="11"/>
    <s v="2010"/>
    <n v="527"/>
  </r>
  <r>
    <x v="11"/>
    <s v="2011"/>
    <n v="567"/>
  </r>
  <r>
    <x v="11"/>
    <s v="2012"/>
    <n v="626"/>
  </r>
  <r>
    <x v="11"/>
    <s v="2013"/>
    <n v="652"/>
  </r>
  <r>
    <x v="11"/>
    <s v="2014"/>
    <n v="616"/>
  </r>
  <r>
    <x v="11"/>
    <s v="2015"/>
    <n v="664"/>
  </r>
  <r>
    <x v="11"/>
    <s v="2016"/>
    <n v="638"/>
  </r>
  <r>
    <x v="11"/>
    <s v="2017"/>
    <n v="638"/>
  </r>
  <r>
    <x v="11"/>
    <s v="2018"/>
    <n v="649"/>
  </r>
  <r>
    <x v="11"/>
    <s v="2019"/>
    <n v="652"/>
  </r>
  <r>
    <x v="11"/>
    <s v="2020"/>
    <n v="563"/>
  </r>
  <r>
    <x v="11"/>
    <s v="2021"/>
    <n v="561"/>
  </r>
  <r>
    <x v="11"/>
    <s v="2022"/>
    <n v="576"/>
  </r>
  <r>
    <x v="11"/>
    <s v="2023"/>
    <n v="611"/>
  </r>
  <r>
    <x v="12"/>
    <s v="2010"/>
    <n v="758"/>
  </r>
  <r>
    <x v="12"/>
    <s v="2011"/>
    <n v="702"/>
  </r>
  <r>
    <x v="12"/>
    <s v="2012"/>
    <n v="655"/>
  </r>
  <r>
    <x v="12"/>
    <s v="2013"/>
    <n v="627"/>
  </r>
  <r>
    <x v="12"/>
    <s v="2014"/>
    <n v="648"/>
  </r>
  <r>
    <x v="12"/>
    <s v="2015"/>
    <n v="621"/>
  </r>
  <r>
    <x v="12"/>
    <s v="2016"/>
    <n v="603"/>
  </r>
  <r>
    <x v="12"/>
    <s v="2017"/>
    <n v="548"/>
  </r>
  <r>
    <x v="12"/>
    <s v="2018"/>
    <n v="561"/>
  </r>
  <r>
    <x v="12"/>
    <s v="2019"/>
    <n v="560"/>
  </r>
  <r>
    <x v="12"/>
    <s v="2020"/>
    <n v="503"/>
  </r>
  <r>
    <x v="12"/>
    <s v="2021"/>
    <n v="535"/>
  </r>
  <r>
    <x v="12"/>
    <s v="2022"/>
    <n v="606"/>
  </r>
  <r>
    <x v="12"/>
    <s v="2023"/>
    <n v="577"/>
  </r>
  <r>
    <x v="13"/>
    <s v="2010"/>
    <n v="526"/>
  </r>
  <r>
    <x v="13"/>
    <s v="2011"/>
    <n v="563"/>
  </r>
  <r>
    <x v="13"/>
    <s v="2012"/>
    <n v="613"/>
  </r>
  <r>
    <x v="13"/>
    <s v="2013"/>
    <n v="573"/>
  </r>
  <r>
    <x v="13"/>
    <s v="2014"/>
    <n v="621"/>
  </r>
  <r>
    <x v="13"/>
    <s v="2015"/>
    <n v="537"/>
  </r>
  <r>
    <x v="13"/>
    <s v="2016"/>
    <n v="603"/>
  </r>
  <r>
    <x v="13"/>
    <s v="2017"/>
    <n v="574"/>
  </r>
  <r>
    <x v="13"/>
    <s v="2018"/>
    <n v="584"/>
  </r>
  <r>
    <x v="13"/>
    <s v="2019"/>
    <n v="601"/>
  </r>
  <r>
    <x v="13"/>
    <s v="2020"/>
    <n v="546"/>
  </r>
  <r>
    <x v="13"/>
    <s v="2021"/>
    <n v="529"/>
  </r>
  <r>
    <x v="13"/>
    <s v="2022"/>
    <n v="594"/>
  </r>
  <r>
    <x v="13"/>
    <s v="2023"/>
    <n v="699"/>
  </r>
  <r>
    <x v="14"/>
    <s v="2010"/>
    <n v="0"/>
  </r>
  <r>
    <x v="14"/>
    <s v="2011"/>
    <n v="246"/>
  </r>
  <r>
    <x v="14"/>
    <s v="2012"/>
    <n v="284"/>
  </r>
  <r>
    <x v="14"/>
    <s v="2013"/>
    <n v="272"/>
  </r>
  <r>
    <x v="14"/>
    <s v="2014"/>
    <n v="327"/>
  </r>
  <r>
    <x v="14"/>
    <s v="2015"/>
    <n v="347"/>
  </r>
  <r>
    <x v="14"/>
    <s v="2016"/>
    <n v="427"/>
  </r>
  <r>
    <x v="14"/>
    <s v="2017"/>
    <n v="489"/>
  </r>
  <r>
    <x v="14"/>
    <s v="2018"/>
    <n v="454"/>
  </r>
  <r>
    <x v="14"/>
    <s v="2019"/>
    <n v="459"/>
  </r>
  <r>
    <x v="14"/>
    <s v="2020"/>
    <n v="743"/>
  </r>
  <r>
    <x v="14"/>
    <s v="2021"/>
    <n v="1111"/>
  </r>
  <r>
    <x v="14"/>
    <s v="2022"/>
    <n v="1146"/>
  </r>
  <r>
    <x v="14"/>
    <s v="2023"/>
    <n v="1161"/>
  </r>
  <r>
    <x v="15"/>
    <s v="2010"/>
    <n v="480"/>
  </r>
  <r>
    <x v="15"/>
    <s v="2011"/>
    <n v="445"/>
  </r>
  <r>
    <x v="15"/>
    <s v="2012"/>
    <n v="456"/>
  </r>
  <r>
    <x v="15"/>
    <s v="2013"/>
    <n v="484"/>
  </r>
  <r>
    <x v="15"/>
    <s v="2014"/>
    <n v="471"/>
  </r>
  <r>
    <x v="15"/>
    <s v="2015"/>
    <n v="441"/>
  </r>
  <r>
    <x v="15"/>
    <s v="2016"/>
    <n v="473"/>
  </r>
  <r>
    <x v="15"/>
    <s v="2017"/>
    <n v="585"/>
  </r>
  <r>
    <x v="15"/>
    <s v="2018"/>
    <n v="654"/>
  </r>
  <r>
    <x v="15"/>
    <s v="2019"/>
    <n v="620"/>
  </r>
  <r>
    <x v="15"/>
    <s v="2020"/>
    <n v="555"/>
  </r>
  <r>
    <x v="15"/>
    <s v="2021"/>
    <n v="543"/>
  </r>
  <r>
    <x v="15"/>
    <s v="2022"/>
    <n v="569"/>
  </r>
  <r>
    <x v="15"/>
    <s v="2023"/>
    <n v="661"/>
  </r>
  <r>
    <x v="16"/>
    <s v="2010"/>
    <n v="326"/>
  </r>
  <r>
    <x v="16"/>
    <s v="2011"/>
    <n v="359"/>
  </r>
  <r>
    <x v="16"/>
    <s v="2012"/>
    <n v="325"/>
  </r>
  <r>
    <x v="16"/>
    <s v="2013"/>
    <n v="379"/>
  </r>
  <r>
    <x v="16"/>
    <s v="2014"/>
    <n v="386"/>
  </r>
  <r>
    <x v="16"/>
    <s v="2015"/>
    <n v="449"/>
  </r>
  <r>
    <x v="16"/>
    <s v="2016"/>
    <n v="454"/>
  </r>
  <r>
    <x v="16"/>
    <s v="2017"/>
    <n v="490"/>
  </r>
  <r>
    <x v="16"/>
    <s v="2018"/>
    <n v="541"/>
  </r>
  <r>
    <x v="16"/>
    <s v="2019"/>
    <n v="573"/>
  </r>
  <r>
    <x v="16"/>
    <s v="2020"/>
    <n v="664"/>
  </r>
  <r>
    <x v="16"/>
    <s v="2021"/>
    <n v="650"/>
  </r>
  <r>
    <x v="16"/>
    <s v="2022"/>
    <n v="744"/>
  </r>
  <r>
    <x v="16"/>
    <s v="2023"/>
    <n v="697"/>
  </r>
  <r>
    <x v="17"/>
    <s v="2010"/>
    <n v="391"/>
  </r>
  <r>
    <x v="17"/>
    <s v="2011"/>
    <n v="439"/>
  </r>
  <r>
    <x v="17"/>
    <s v="2012"/>
    <n v="446"/>
  </r>
  <r>
    <x v="17"/>
    <s v="2013"/>
    <n v="441"/>
  </r>
  <r>
    <x v="17"/>
    <s v="2014"/>
    <n v="454"/>
  </r>
  <r>
    <x v="17"/>
    <s v="2015"/>
    <n v="454"/>
  </r>
  <r>
    <x v="17"/>
    <s v="2016"/>
    <n v="452"/>
  </r>
  <r>
    <x v="17"/>
    <s v="2017"/>
    <n v="444"/>
  </r>
  <r>
    <x v="17"/>
    <s v="2018"/>
    <n v="464"/>
  </r>
  <r>
    <x v="17"/>
    <s v="2019"/>
    <n v="492"/>
  </r>
  <r>
    <x v="17"/>
    <s v="2020"/>
    <n v="431"/>
  </r>
  <r>
    <x v="17"/>
    <s v="2021"/>
    <n v="488"/>
  </r>
  <r>
    <x v="17"/>
    <s v="2022"/>
    <n v="603"/>
  </r>
  <r>
    <x v="17"/>
    <s v="2023"/>
    <n v="620"/>
  </r>
  <r>
    <x v="18"/>
    <s v="2010"/>
    <n v="486"/>
  </r>
  <r>
    <x v="18"/>
    <s v="2011"/>
    <n v="509"/>
  </r>
  <r>
    <x v="18"/>
    <s v="2012"/>
    <n v="474"/>
  </r>
  <r>
    <x v="18"/>
    <s v="2013"/>
    <n v="492"/>
  </r>
  <r>
    <x v="18"/>
    <s v="2014"/>
    <n v="485"/>
  </r>
  <r>
    <x v="18"/>
    <s v="2015"/>
    <n v="433"/>
  </r>
  <r>
    <x v="18"/>
    <s v="2016"/>
    <n v="460"/>
  </r>
  <r>
    <x v="18"/>
    <s v="2017"/>
    <n v="428"/>
  </r>
  <r>
    <x v="18"/>
    <s v="2018"/>
    <n v="379"/>
  </r>
  <r>
    <x v="18"/>
    <s v="2019"/>
    <n v="374"/>
  </r>
  <r>
    <x v="18"/>
    <s v="2020"/>
    <n v="395"/>
  </r>
  <r>
    <x v="18"/>
    <s v="2021"/>
    <n v="352"/>
  </r>
  <r>
    <x v="18"/>
    <s v="2022"/>
    <n v="366"/>
  </r>
  <r>
    <x v="18"/>
    <s v="2023"/>
    <n v="348"/>
  </r>
  <r>
    <x v="19"/>
    <s v="2010"/>
    <n v="343"/>
  </r>
  <r>
    <x v="19"/>
    <s v="2011"/>
    <n v="373"/>
  </r>
  <r>
    <x v="19"/>
    <s v="2012"/>
    <n v="356"/>
  </r>
  <r>
    <x v="19"/>
    <s v="2013"/>
    <n v="366"/>
  </r>
  <r>
    <x v="19"/>
    <s v="2014"/>
    <n v="406"/>
  </r>
  <r>
    <x v="19"/>
    <s v="2015"/>
    <n v="409"/>
  </r>
  <r>
    <x v="19"/>
    <s v="2016"/>
    <n v="462"/>
  </r>
  <r>
    <x v="19"/>
    <s v="2017"/>
    <n v="441"/>
  </r>
  <r>
    <x v="19"/>
    <s v="2018"/>
    <n v="426"/>
  </r>
  <r>
    <x v="19"/>
    <s v="2019"/>
    <n v="428"/>
  </r>
  <r>
    <x v="19"/>
    <s v="2020"/>
    <n v="386"/>
  </r>
  <r>
    <x v="19"/>
    <s v="2021"/>
    <n v="456"/>
  </r>
  <r>
    <x v="19"/>
    <s v="2022"/>
    <n v="493"/>
  </r>
  <r>
    <x v="19"/>
    <s v="2023"/>
    <n v="539"/>
  </r>
  <r>
    <x v="20"/>
    <s v="2010"/>
    <n v="391"/>
  </r>
  <r>
    <x v="20"/>
    <s v="2011"/>
    <n v="430"/>
  </r>
  <r>
    <x v="20"/>
    <s v="2012"/>
    <n v="462"/>
  </r>
  <r>
    <x v="20"/>
    <s v="2013"/>
    <n v="392"/>
  </r>
  <r>
    <x v="20"/>
    <s v="2014"/>
    <n v="434"/>
  </r>
  <r>
    <x v="20"/>
    <s v="2015"/>
    <n v="396"/>
  </r>
  <r>
    <x v="20"/>
    <s v="2016"/>
    <n v="459"/>
  </r>
  <r>
    <x v="20"/>
    <s v="2017"/>
    <n v="441"/>
  </r>
  <r>
    <x v="20"/>
    <s v="2018"/>
    <n v="418"/>
  </r>
  <r>
    <x v="20"/>
    <s v="2019"/>
    <n v="411"/>
  </r>
  <r>
    <x v="20"/>
    <s v="2020"/>
    <n v="363"/>
  </r>
  <r>
    <x v="20"/>
    <s v="2021"/>
    <n v="392"/>
  </r>
  <r>
    <x v="20"/>
    <s v="2022"/>
    <n v="347"/>
  </r>
  <r>
    <x v="20"/>
    <s v="2023"/>
    <n v="442"/>
  </r>
  <r>
    <x v="21"/>
    <s v="2010"/>
    <n v="377"/>
  </r>
  <r>
    <x v="21"/>
    <s v="2011"/>
    <n v="397"/>
  </r>
  <r>
    <x v="21"/>
    <s v="2012"/>
    <n v="443"/>
  </r>
  <r>
    <x v="21"/>
    <s v="2013"/>
    <n v="437"/>
  </r>
  <r>
    <x v="21"/>
    <s v="2014"/>
    <n v="407"/>
  </r>
  <r>
    <x v="21"/>
    <s v="2015"/>
    <n v="430"/>
  </r>
  <r>
    <x v="21"/>
    <s v="2016"/>
    <n v="389"/>
  </r>
  <r>
    <x v="21"/>
    <s v="2017"/>
    <n v="472"/>
  </r>
  <r>
    <x v="21"/>
    <s v="2018"/>
    <n v="449"/>
  </r>
  <r>
    <x v="21"/>
    <s v="2019"/>
    <n v="487"/>
  </r>
  <r>
    <x v="21"/>
    <s v="2020"/>
    <n v="338"/>
  </r>
  <r>
    <x v="21"/>
    <s v="2021"/>
    <n v="346"/>
  </r>
  <r>
    <x v="21"/>
    <s v="2022"/>
    <n v="365"/>
  </r>
  <r>
    <x v="21"/>
    <s v="2023"/>
    <n v="435"/>
  </r>
  <r>
    <x v="22"/>
    <s v="2010"/>
    <n v="330"/>
  </r>
  <r>
    <x v="22"/>
    <s v="2011"/>
    <n v="346"/>
  </r>
  <r>
    <x v="22"/>
    <s v="2012"/>
    <n v="309"/>
  </r>
  <r>
    <x v="22"/>
    <s v="2013"/>
    <n v="327"/>
  </r>
  <r>
    <x v="22"/>
    <s v="2014"/>
    <n v="296"/>
  </r>
  <r>
    <x v="22"/>
    <s v="2015"/>
    <n v="342"/>
  </r>
  <r>
    <x v="22"/>
    <s v="2016"/>
    <n v="360"/>
  </r>
  <r>
    <x v="22"/>
    <s v="2017"/>
    <n v="358"/>
  </r>
  <r>
    <x v="22"/>
    <s v="2018"/>
    <n v="392"/>
  </r>
  <r>
    <x v="22"/>
    <s v="2019"/>
    <n v="415"/>
  </r>
  <r>
    <x v="22"/>
    <s v="2020"/>
    <n v="466"/>
  </r>
  <r>
    <x v="22"/>
    <s v="2021"/>
    <n v="486"/>
  </r>
  <r>
    <x v="22"/>
    <s v="2022"/>
    <n v="489"/>
  </r>
  <r>
    <x v="22"/>
    <s v="2023"/>
    <n v="533"/>
  </r>
  <r>
    <x v="23"/>
    <s v="2010"/>
    <n v="284"/>
  </r>
  <r>
    <x v="23"/>
    <s v="2011"/>
    <n v="258"/>
  </r>
  <r>
    <x v="23"/>
    <s v="2012"/>
    <n v="308"/>
  </r>
  <r>
    <x v="23"/>
    <s v="2013"/>
    <n v="330"/>
  </r>
  <r>
    <x v="23"/>
    <s v="2014"/>
    <n v="317"/>
  </r>
  <r>
    <x v="23"/>
    <s v="2015"/>
    <n v="367"/>
  </r>
  <r>
    <x v="23"/>
    <s v="2016"/>
    <n v="332"/>
  </r>
  <r>
    <x v="23"/>
    <s v="2017"/>
    <n v="336"/>
  </r>
  <r>
    <x v="23"/>
    <s v="2018"/>
    <n v="349"/>
  </r>
  <r>
    <x v="23"/>
    <s v="2019"/>
    <n v="331"/>
  </r>
  <r>
    <x v="23"/>
    <s v="2020"/>
    <n v="343"/>
  </r>
  <r>
    <x v="23"/>
    <s v="2021"/>
    <n v="420"/>
  </r>
  <r>
    <x v="23"/>
    <s v="2022"/>
    <n v="407"/>
  </r>
  <r>
    <x v="23"/>
    <s v="2023"/>
    <n v="381"/>
  </r>
  <r>
    <x v="24"/>
    <s v="2010"/>
    <n v="264"/>
  </r>
  <r>
    <x v="24"/>
    <s v="2011"/>
    <n v="291"/>
  </r>
  <r>
    <x v="24"/>
    <s v="2012"/>
    <n v="274"/>
  </r>
  <r>
    <x v="24"/>
    <s v="2013"/>
    <n v="271"/>
  </r>
  <r>
    <x v="24"/>
    <s v="2014"/>
    <n v="308"/>
  </r>
  <r>
    <x v="24"/>
    <s v="2015"/>
    <n v="291"/>
  </r>
  <r>
    <x v="24"/>
    <s v="2016"/>
    <n v="312"/>
  </r>
  <r>
    <x v="24"/>
    <s v="2017"/>
    <n v="287"/>
  </r>
  <r>
    <x v="24"/>
    <s v="2018"/>
    <n v="306"/>
  </r>
  <r>
    <x v="24"/>
    <s v="2019"/>
    <n v="286"/>
  </r>
  <r>
    <x v="24"/>
    <s v="2020"/>
    <n v="315"/>
  </r>
  <r>
    <x v="24"/>
    <s v="2021"/>
    <n v="302"/>
  </r>
  <r>
    <x v="24"/>
    <s v="2022"/>
    <n v="283"/>
  </r>
  <r>
    <x v="24"/>
    <s v="2023"/>
    <n v="251"/>
  </r>
  <r>
    <x v="25"/>
    <s v="2010"/>
    <n v="240"/>
  </r>
  <r>
    <x v="25"/>
    <s v="2011"/>
    <n v="288"/>
  </r>
  <r>
    <x v="25"/>
    <s v="2012"/>
    <n v="249"/>
  </r>
  <r>
    <x v="25"/>
    <s v="2013"/>
    <n v="187"/>
  </r>
  <r>
    <x v="25"/>
    <s v="2014"/>
    <n v="220"/>
  </r>
  <r>
    <x v="25"/>
    <s v="2015"/>
    <n v="239"/>
  </r>
  <r>
    <x v="25"/>
    <s v="2016"/>
    <n v="229"/>
  </r>
  <r>
    <x v="25"/>
    <s v="2017"/>
    <n v="221"/>
  </r>
  <r>
    <x v="25"/>
    <s v="2018"/>
    <n v="296"/>
  </r>
  <r>
    <x v="25"/>
    <s v="2019"/>
    <n v="304"/>
  </r>
  <r>
    <x v="25"/>
    <s v="2020"/>
    <n v="287"/>
  </r>
  <r>
    <x v="25"/>
    <s v="2021"/>
    <n v="342"/>
  </r>
  <r>
    <x v="25"/>
    <s v="2022"/>
    <n v="367"/>
  </r>
  <r>
    <x v="25"/>
    <s v="2023"/>
    <n v="338"/>
  </r>
  <r>
    <x v="26"/>
    <s v="2010"/>
    <n v="240"/>
  </r>
  <r>
    <x v="26"/>
    <s v="2011"/>
    <n v="268"/>
  </r>
  <r>
    <x v="26"/>
    <s v="2012"/>
    <n v="315"/>
  </r>
  <r>
    <x v="26"/>
    <s v="2013"/>
    <n v="265"/>
  </r>
  <r>
    <x v="26"/>
    <s v="2014"/>
    <n v="301"/>
  </r>
  <r>
    <x v="26"/>
    <s v="2015"/>
    <n v="314"/>
  </r>
  <r>
    <x v="26"/>
    <s v="2016"/>
    <n v="311"/>
  </r>
  <r>
    <x v="26"/>
    <s v="2017"/>
    <n v="239"/>
  </r>
  <r>
    <x v="26"/>
    <s v="2018"/>
    <n v="238"/>
  </r>
  <r>
    <x v="26"/>
    <s v="2019"/>
    <n v="241"/>
  </r>
  <r>
    <x v="26"/>
    <s v="2020"/>
    <n v="191"/>
  </r>
  <r>
    <x v="26"/>
    <s v="2021"/>
    <n v="252"/>
  </r>
  <r>
    <x v="26"/>
    <s v="2022"/>
    <n v="289"/>
  </r>
  <r>
    <x v="26"/>
    <s v="2023"/>
    <n v="316"/>
  </r>
  <r>
    <x v="27"/>
    <s v="2010"/>
    <n v="172"/>
  </r>
  <r>
    <x v="27"/>
    <s v="2011"/>
    <n v="183"/>
  </r>
  <r>
    <x v="27"/>
    <s v="2012"/>
    <n v="169"/>
  </r>
  <r>
    <x v="27"/>
    <s v="2013"/>
    <n v="160"/>
  </r>
  <r>
    <x v="27"/>
    <s v="2014"/>
    <n v="204"/>
  </r>
  <r>
    <x v="27"/>
    <s v="2015"/>
    <n v="189"/>
  </r>
  <r>
    <x v="27"/>
    <s v="2016"/>
    <n v="205"/>
  </r>
  <r>
    <x v="27"/>
    <s v="2017"/>
    <n v="181"/>
  </r>
  <r>
    <x v="27"/>
    <s v="2018"/>
    <n v="216"/>
  </r>
  <r>
    <x v="27"/>
    <s v="2019"/>
    <n v="208"/>
  </r>
  <r>
    <x v="27"/>
    <s v="2020"/>
    <n v="193"/>
  </r>
  <r>
    <x v="27"/>
    <s v="2021"/>
    <n v="179"/>
  </r>
  <r>
    <x v="27"/>
    <s v="2022"/>
    <n v="243"/>
  </r>
  <r>
    <x v="27"/>
    <s v="2023"/>
    <n v="212"/>
  </r>
  <r>
    <x v="28"/>
    <s v="2010"/>
    <n v="198"/>
  </r>
  <r>
    <x v="28"/>
    <s v="2011"/>
    <n v="212"/>
  </r>
  <r>
    <x v="28"/>
    <s v="2012"/>
    <n v="159"/>
  </r>
  <r>
    <x v="28"/>
    <s v="2013"/>
    <n v="216"/>
  </r>
  <r>
    <x v="28"/>
    <s v="2014"/>
    <n v="166"/>
  </r>
  <r>
    <x v="28"/>
    <s v="2015"/>
    <n v="180"/>
  </r>
  <r>
    <x v="28"/>
    <s v="2016"/>
    <n v="165"/>
  </r>
  <r>
    <x v="28"/>
    <s v="2017"/>
    <n v="186"/>
  </r>
  <r>
    <x v="28"/>
    <s v="2018"/>
    <n v="179"/>
  </r>
  <r>
    <x v="28"/>
    <s v="2019"/>
    <n v="171"/>
  </r>
  <r>
    <x v="28"/>
    <s v="2020"/>
    <n v="190"/>
  </r>
  <r>
    <x v="28"/>
    <s v="2021"/>
    <n v="178"/>
  </r>
  <r>
    <x v="28"/>
    <s v="2022"/>
    <n v="171"/>
  </r>
  <r>
    <x v="28"/>
    <s v="2023"/>
    <n v="161"/>
  </r>
  <r>
    <x v="29"/>
    <s v="2010"/>
    <n v="142"/>
  </r>
  <r>
    <x v="29"/>
    <s v="2011"/>
    <n v="179"/>
  </r>
  <r>
    <x v="29"/>
    <s v="2012"/>
    <n v="162"/>
  </r>
  <r>
    <x v="29"/>
    <s v="2013"/>
    <n v="188"/>
  </r>
  <r>
    <x v="29"/>
    <s v="2014"/>
    <n v="164"/>
  </r>
  <r>
    <x v="29"/>
    <s v="2015"/>
    <n v="181"/>
  </r>
  <r>
    <x v="29"/>
    <s v="2016"/>
    <n v="205"/>
  </r>
  <r>
    <x v="29"/>
    <s v="2017"/>
    <n v="172"/>
  </r>
  <r>
    <x v="29"/>
    <s v="2018"/>
    <n v="184"/>
  </r>
  <r>
    <x v="29"/>
    <s v="2019"/>
    <n v="169"/>
  </r>
  <r>
    <x v="29"/>
    <s v="2020"/>
    <n v="158"/>
  </r>
  <r>
    <x v="29"/>
    <s v="2021"/>
    <n v="173"/>
  </r>
  <r>
    <x v="29"/>
    <s v="2022"/>
    <n v="183"/>
  </r>
  <r>
    <x v="29"/>
    <s v="2023"/>
    <n v="187"/>
  </r>
  <r>
    <x v="30"/>
    <s v="2010"/>
    <n v="74"/>
  </r>
  <r>
    <x v="30"/>
    <s v="2011"/>
    <n v="102"/>
  </r>
  <r>
    <x v="30"/>
    <s v="2012"/>
    <n v="92"/>
  </r>
  <r>
    <x v="30"/>
    <s v="2013"/>
    <n v="88"/>
  </r>
  <r>
    <x v="30"/>
    <s v="2014"/>
    <n v="102"/>
  </r>
  <r>
    <x v="30"/>
    <s v="2015"/>
    <n v="140"/>
  </r>
  <r>
    <x v="30"/>
    <s v="2016"/>
    <n v="120"/>
  </r>
  <r>
    <x v="30"/>
    <s v="2017"/>
    <n v="139"/>
  </r>
  <r>
    <x v="30"/>
    <s v="2018"/>
    <n v="162"/>
  </r>
  <r>
    <x v="30"/>
    <s v="2019"/>
    <n v="176"/>
  </r>
  <r>
    <x v="30"/>
    <s v="2020"/>
    <n v="208"/>
  </r>
  <r>
    <x v="30"/>
    <s v="2021"/>
    <n v="262"/>
  </r>
  <r>
    <x v="30"/>
    <s v="2022"/>
    <n v="280"/>
  </r>
  <r>
    <x v="30"/>
    <s v="2023"/>
    <n v="252"/>
  </r>
  <r>
    <x v="31"/>
    <s v="2010"/>
    <n v="162"/>
  </r>
  <r>
    <x v="31"/>
    <s v="2011"/>
    <n v="161"/>
  </r>
  <r>
    <x v="31"/>
    <s v="2012"/>
    <n v="193"/>
  </r>
  <r>
    <x v="31"/>
    <s v="2013"/>
    <n v="170"/>
  </r>
  <r>
    <x v="31"/>
    <s v="2014"/>
    <n v="164"/>
  </r>
  <r>
    <x v="31"/>
    <s v="2015"/>
    <n v="168"/>
  </r>
  <r>
    <x v="31"/>
    <s v="2016"/>
    <n v="176"/>
  </r>
  <r>
    <x v="31"/>
    <s v="2017"/>
    <n v="155"/>
  </r>
  <r>
    <x v="31"/>
    <s v="2018"/>
    <n v="150"/>
  </r>
  <r>
    <x v="31"/>
    <s v="2019"/>
    <n v="143"/>
  </r>
  <r>
    <x v="31"/>
    <s v="2020"/>
    <n v="114"/>
  </r>
  <r>
    <x v="31"/>
    <s v="2021"/>
    <n v="110"/>
  </r>
  <r>
    <x v="31"/>
    <s v="2022"/>
    <n v="119"/>
  </r>
  <r>
    <x v="31"/>
    <s v="2023"/>
    <n v="123"/>
  </r>
  <r>
    <x v="32"/>
    <s v="2010"/>
    <n v="156"/>
  </r>
  <r>
    <x v="32"/>
    <s v="2011"/>
    <n v="147"/>
  </r>
  <r>
    <x v="32"/>
    <s v="2012"/>
    <n v="130"/>
  </r>
  <r>
    <x v="32"/>
    <s v="2013"/>
    <n v="145"/>
  </r>
  <r>
    <x v="32"/>
    <s v="2014"/>
    <n v="154"/>
  </r>
  <r>
    <x v="32"/>
    <s v="2015"/>
    <n v="143"/>
  </r>
  <r>
    <x v="32"/>
    <s v="2016"/>
    <n v="162"/>
  </r>
  <r>
    <x v="32"/>
    <s v="2017"/>
    <n v="176"/>
  </r>
  <r>
    <x v="32"/>
    <s v="2018"/>
    <n v="168"/>
  </r>
  <r>
    <x v="32"/>
    <s v="2019"/>
    <n v="146"/>
  </r>
  <r>
    <x v="32"/>
    <s v="2020"/>
    <n v="112"/>
  </r>
  <r>
    <x v="32"/>
    <s v="2021"/>
    <n v="116"/>
  </r>
  <r>
    <x v="32"/>
    <s v="2022"/>
    <n v="110"/>
  </r>
  <r>
    <x v="32"/>
    <s v="2023"/>
    <n v="159"/>
  </r>
  <r>
    <x v="33"/>
    <s v="2010"/>
    <n v="111"/>
  </r>
  <r>
    <x v="33"/>
    <s v="2011"/>
    <n v="112"/>
  </r>
  <r>
    <x v="33"/>
    <s v="2012"/>
    <n v="120"/>
  </r>
  <r>
    <x v="33"/>
    <s v="2013"/>
    <n v="124"/>
  </r>
  <r>
    <x v="33"/>
    <s v="2014"/>
    <n v="110"/>
  </r>
  <r>
    <x v="33"/>
    <s v="2015"/>
    <n v="102"/>
  </r>
  <r>
    <x v="33"/>
    <s v="2016"/>
    <n v="120"/>
  </r>
  <r>
    <x v="33"/>
    <s v="2017"/>
    <n v="126"/>
  </r>
  <r>
    <x v="33"/>
    <s v="2018"/>
    <n v="132"/>
  </r>
  <r>
    <x v="33"/>
    <s v="2019"/>
    <n v="161"/>
  </r>
  <r>
    <x v="33"/>
    <s v="2020"/>
    <n v="154"/>
  </r>
  <r>
    <x v="33"/>
    <s v="2021"/>
    <n v="155"/>
  </r>
  <r>
    <x v="33"/>
    <s v="2022"/>
    <n v="174"/>
  </r>
  <r>
    <x v="33"/>
    <s v="2023"/>
    <n v="174"/>
  </r>
  <r>
    <x v="34"/>
    <s v="2010"/>
    <n v="91"/>
  </r>
  <r>
    <x v="34"/>
    <s v="2011"/>
    <n v="96"/>
  </r>
  <r>
    <x v="34"/>
    <s v="2012"/>
    <n v="103"/>
  </r>
  <r>
    <x v="34"/>
    <s v="2013"/>
    <n v="88"/>
  </r>
  <r>
    <x v="34"/>
    <s v="2014"/>
    <n v="106"/>
  </r>
  <r>
    <x v="34"/>
    <s v="2015"/>
    <n v="105"/>
  </r>
  <r>
    <x v="34"/>
    <s v="2016"/>
    <n v="121"/>
  </r>
  <r>
    <x v="34"/>
    <s v="2017"/>
    <n v="111"/>
  </r>
  <r>
    <x v="34"/>
    <s v="2018"/>
    <n v="100"/>
  </r>
  <r>
    <x v="34"/>
    <s v="2019"/>
    <n v="119"/>
  </r>
  <r>
    <x v="34"/>
    <s v="2020"/>
    <n v="123"/>
  </r>
  <r>
    <x v="34"/>
    <s v="2021"/>
    <n v="153"/>
  </r>
  <r>
    <x v="34"/>
    <s v="2022"/>
    <n v="146"/>
  </r>
  <r>
    <x v="34"/>
    <s v="2023"/>
    <n v="137"/>
  </r>
  <r>
    <x v="35"/>
    <s v="2010"/>
    <n v="70"/>
  </r>
  <r>
    <x v="35"/>
    <s v="2011"/>
    <n v="104"/>
  </r>
  <r>
    <x v="35"/>
    <s v="2012"/>
    <n v="101"/>
  </r>
  <r>
    <x v="35"/>
    <s v="2013"/>
    <n v="104"/>
  </r>
  <r>
    <x v="35"/>
    <s v="2014"/>
    <n v="106"/>
  </r>
  <r>
    <x v="35"/>
    <s v="2015"/>
    <n v="97"/>
  </r>
  <r>
    <x v="35"/>
    <s v="2016"/>
    <n v="120"/>
  </r>
  <r>
    <x v="35"/>
    <s v="2017"/>
    <n v="108"/>
  </r>
  <r>
    <x v="35"/>
    <s v="2018"/>
    <n v="115"/>
  </r>
  <r>
    <x v="35"/>
    <s v="2019"/>
    <n v="93"/>
  </r>
  <r>
    <x v="35"/>
    <s v="2020"/>
    <n v="109"/>
  </r>
  <r>
    <x v="35"/>
    <s v="2021"/>
    <n v="97"/>
  </r>
  <r>
    <x v="35"/>
    <s v="2022"/>
    <n v="104"/>
  </r>
  <r>
    <x v="35"/>
    <s v="2023"/>
    <n v="111"/>
  </r>
  <r>
    <x v="36"/>
    <s v="2010"/>
    <n v="37"/>
  </r>
  <r>
    <x v="36"/>
    <s v="2011"/>
    <n v="42"/>
  </r>
  <r>
    <x v="36"/>
    <s v="2012"/>
    <n v="46"/>
  </r>
  <r>
    <x v="36"/>
    <s v="2013"/>
    <n v="45"/>
  </r>
  <r>
    <x v="36"/>
    <s v="2014"/>
    <n v="49"/>
  </r>
  <r>
    <x v="36"/>
    <s v="2015"/>
    <n v="59"/>
  </r>
  <r>
    <x v="36"/>
    <s v="2016"/>
    <n v="55"/>
  </r>
  <r>
    <x v="36"/>
    <s v="2017"/>
    <n v="80"/>
  </r>
  <r>
    <x v="36"/>
    <s v="2018"/>
    <n v="74"/>
  </r>
  <r>
    <x v="36"/>
    <s v="2019"/>
    <n v="59"/>
  </r>
  <r>
    <x v="36"/>
    <s v="2020"/>
    <n v="83"/>
  </r>
  <r>
    <x v="36"/>
    <s v="2021"/>
    <n v="107"/>
  </r>
  <r>
    <x v="36"/>
    <s v="2022"/>
    <n v="100"/>
  </r>
  <r>
    <x v="36"/>
    <s v="2023"/>
    <n v="99"/>
  </r>
  <r>
    <x v="37"/>
    <s v="2010"/>
    <n v="60"/>
  </r>
  <r>
    <x v="37"/>
    <s v="2011"/>
    <n v="67"/>
  </r>
  <r>
    <x v="37"/>
    <s v="2012"/>
    <n v="52"/>
  </r>
  <r>
    <x v="37"/>
    <s v="2013"/>
    <n v="55"/>
  </r>
  <r>
    <x v="37"/>
    <s v="2014"/>
    <n v="69"/>
  </r>
  <r>
    <x v="37"/>
    <s v="2015"/>
    <n v="84"/>
  </r>
  <r>
    <x v="37"/>
    <s v="2016"/>
    <n v="82"/>
  </r>
  <r>
    <x v="37"/>
    <s v="2017"/>
    <n v="79"/>
  </r>
  <r>
    <x v="37"/>
    <s v="2018"/>
    <n v="89"/>
  </r>
  <r>
    <x v="37"/>
    <s v="2019"/>
    <n v="70"/>
  </r>
  <r>
    <x v="37"/>
    <s v="2020"/>
    <n v="57"/>
  </r>
  <r>
    <x v="37"/>
    <s v="2021"/>
    <n v="34"/>
  </r>
  <r>
    <x v="37"/>
    <s v="2022"/>
    <n v="50"/>
  </r>
  <r>
    <x v="37"/>
    <s v="2023"/>
    <n v="53"/>
  </r>
  <r>
    <x v="38"/>
    <s v="2010"/>
    <n v="39"/>
  </r>
  <r>
    <x v="38"/>
    <s v="2011"/>
    <n v="32"/>
  </r>
  <r>
    <x v="38"/>
    <s v="2012"/>
    <n v="60"/>
  </r>
  <r>
    <x v="38"/>
    <s v="2013"/>
    <n v="58"/>
  </r>
  <r>
    <x v="38"/>
    <s v="2014"/>
    <n v="51"/>
  </r>
  <r>
    <x v="38"/>
    <s v="2015"/>
    <n v="72"/>
  </r>
  <r>
    <x v="38"/>
    <s v="2016"/>
    <n v="65"/>
  </r>
  <r>
    <x v="38"/>
    <s v="2017"/>
    <n v="57"/>
  </r>
  <r>
    <x v="38"/>
    <s v="2018"/>
    <n v="51"/>
  </r>
  <r>
    <x v="38"/>
    <s v="2019"/>
    <n v="51"/>
  </r>
  <r>
    <x v="38"/>
    <s v="2020"/>
    <n v="59"/>
  </r>
  <r>
    <x v="38"/>
    <s v="2021"/>
    <n v="82"/>
  </r>
  <r>
    <x v="38"/>
    <s v="2022"/>
    <n v="81"/>
  </r>
  <r>
    <x v="38"/>
    <s v="2023"/>
    <n v="85"/>
  </r>
  <r>
    <x v="39"/>
    <s v="2010"/>
    <n v="47"/>
  </r>
  <r>
    <x v="39"/>
    <s v="2011"/>
    <n v="45"/>
  </r>
  <r>
    <x v="39"/>
    <s v="2012"/>
    <n v="44"/>
  </r>
  <r>
    <x v="39"/>
    <s v="2013"/>
    <n v="56"/>
  </r>
  <r>
    <x v="39"/>
    <s v="2014"/>
    <n v="36"/>
  </r>
  <r>
    <x v="39"/>
    <s v="2015"/>
    <n v="57"/>
  </r>
  <r>
    <x v="39"/>
    <s v="2016"/>
    <n v="46"/>
  </r>
  <r>
    <x v="39"/>
    <s v="2017"/>
    <n v="49"/>
  </r>
  <r>
    <x v="39"/>
    <s v="2018"/>
    <n v="58"/>
  </r>
  <r>
    <x v="39"/>
    <s v="2019"/>
    <n v="66"/>
  </r>
  <r>
    <x v="39"/>
    <s v="2020"/>
    <n v="75"/>
  </r>
  <r>
    <x v="39"/>
    <s v="2021"/>
    <n v="98"/>
  </r>
  <r>
    <x v="39"/>
    <s v="2022"/>
    <n v="84"/>
  </r>
  <r>
    <x v="39"/>
    <s v="2023"/>
    <n v="71"/>
  </r>
  <r>
    <x v="40"/>
    <s v="2010"/>
    <n v="44"/>
  </r>
  <r>
    <x v="40"/>
    <s v="2011"/>
    <n v="33"/>
  </r>
  <r>
    <x v="40"/>
    <s v="2012"/>
    <n v="46"/>
  </r>
  <r>
    <x v="40"/>
    <s v="2013"/>
    <n v="38"/>
  </r>
  <r>
    <x v="40"/>
    <s v="2014"/>
    <n v="41"/>
  </r>
  <r>
    <x v="40"/>
    <s v="2015"/>
    <n v="54"/>
  </r>
  <r>
    <x v="40"/>
    <s v="2016"/>
    <n v="51"/>
  </r>
  <r>
    <x v="40"/>
    <s v="2017"/>
    <n v="74"/>
  </r>
  <r>
    <x v="40"/>
    <s v="2018"/>
    <n v="46"/>
  </r>
  <r>
    <x v="40"/>
    <s v="2019"/>
    <n v="65"/>
  </r>
  <r>
    <x v="40"/>
    <s v="2020"/>
    <n v="58"/>
  </r>
  <r>
    <x v="40"/>
    <s v="2021"/>
    <n v="73"/>
  </r>
  <r>
    <x v="40"/>
    <s v="2022"/>
    <n v="64"/>
  </r>
  <r>
    <x v="40"/>
    <s v="2023"/>
    <n v="67"/>
  </r>
  <r>
    <x v="41"/>
    <s v="2010"/>
    <n v="40"/>
  </r>
  <r>
    <x v="41"/>
    <s v="2011"/>
    <n v="55"/>
  </r>
  <r>
    <x v="41"/>
    <s v="2012"/>
    <n v="49"/>
  </r>
  <r>
    <x v="41"/>
    <s v="2013"/>
    <n v="53"/>
  </r>
  <r>
    <x v="41"/>
    <s v="2014"/>
    <n v="44"/>
  </r>
  <r>
    <x v="41"/>
    <s v="2015"/>
    <n v="62"/>
  </r>
  <r>
    <x v="41"/>
    <s v="2016"/>
    <n v="64"/>
  </r>
  <r>
    <x v="41"/>
    <s v="2017"/>
    <n v="59"/>
  </r>
  <r>
    <x v="41"/>
    <s v="2018"/>
    <n v="53"/>
  </r>
  <r>
    <x v="41"/>
    <s v="2019"/>
    <n v="46"/>
  </r>
  <r>
    <x v="41"/>
    <s v="2020"/>
    <n v="56"/>
  </r>
  <r>
    <x v="41"/>
    <s v="2021"/>
    <n v="44"/>
  </r>
  <r>
    <x v="41"/>
    <s v="2022"/>
    <n v="43"/>
  </r>
  <r>
    <x v="41"/>
    <s v="2023"/>
    <n v="52"/>
  </r>
  <r>
    <x v="42"/>
    <s v="2010"/>
    <n v="56"/>
  </r>
  <r>
    <x v="42"/>
    <s v="2011"/>
    <n v="45"/>
  </r>
  <r>
    <x v="42"/>
    <s v="2012"/>
    <n v="57"/>
  </r>
  <r>
    <x v="42"/>
    <s v="2013"/>
    <n v="50"/>
  </r>
  <r>
    <x v="42"/>
    <s v="2014"/>
    <n v="56"/>
  </r>
  <r>
    <x v="42"/>
    <s v="2015"/>
    <n v="47"/>
  </r>
  <r>
    <x v="42"/>
    <s v="2016"/>
    <n v="59"/>
  </r>
  <r>
    <x v="42"/>
    <s v="2017"/>
    <n v="53"/>
  </r>
  <r>
    <x v="42"/>
    <s v="2018"/>
    <n v="51"/>
  </r>
  <r>
    <x v="42"/>
    <s v="2019"/>
    <n v="60"/>
  </r>
  <r>
    <x v="42"/>
    <s v="2020"/>
    <n v="32"/>
  </r>
  <r>
    <x v="42"/>
    <s v="2021"/>
    <n v="37"/>
  </r>
  <r>
    <x v="42"/>
    <s v="2022"/>
    <n v="49"/>
  </r>
  <r>
    <x v="42"/>
    <s v="2023"/>
    <n v="61"/>
  </r>
  <r>
    <x v="43"/>
    <s v="2010"/>
    <n v="64"/>
  </r>
  <r>
    <x v="43"/>
    <s v="2011"/>
    <n v="60"/>
  </r>
  <r>
    <x v="43"/>
    <s v="2012"/>
    <n v="59"/>
  </r>
  <r>
    <x v="43"/>
    <s v="2013"/>
    <n v="56"/>
  </r>
  <r>
    <x v="43"/>
    <s v="2014"/>
    <n v="64"/>
  </r>
  <r>
    <x v="43"/>
    <s v="2015"/>
    <n v="40"/>
  </r>
  <r>
    <x v="43"/>
    <s v="2016"/>
    <n v="58"/>
  </r>
  <r>
    <x v="43"/>
    <s v="2017"/>
    <n v="58"/>
  </r>
  <r>
    <x v="43"/>
    <s v="2018"/>
    <n v="40"/>
  </r>
  <r>
    <x v="43"/>
    <s v="2019"/>
    <n v="39"/>
  </r>
  <r>
    <x v="43"/>
    <s v="2020"/>
    <n v="40"/>
  </r>
  <r>
    <x v="43"/>
    <s v="2021"/>
    <n v="35"/>
  </r>
  <r>
    <x v="43"/>
    <s v="2022"/>
    <n v="32"/>
  </r>
  <r>
    <x v="43"/>
    <s v="2023"/>
    <n v="35"/>
  </r>
  <r>
    <x v="44"/>
    <s v="2010"/>
    <n v="35"/>
  </r>
  <r>
    <x v="44"/>
    <s v="2011"/>
    <n v="24"/>
  </r>
  <r>
    <x v="44"/>
    <s v="2012"/>
    <n v="34"/>
  </r>
  <r>
    <x v="44"/>
    <s v="2013"/>
    <n v="44"/>
  </r>
  <r>
    <x v="44"/>
    <s v="2014"/>
    <n v="41"/>
  </r>
  <r>
    <x v="44"/>
    <s v="2015"/>
    <n v="27"/>
  </r>
  <r>
    <x v="44"/>
    <s v="2016"/>
    <n v="52"/>
  </r>
  <r>
    <x v="44"/>
    <s v="2017"/>
    <n v="46"/>
  </r>
  <r>
    <x v="44"/>
    <s v="2018"/>
    <n v="48"/>
  </r>
  <r>
    <x v="44"/>
    <s v="2019"/>
    <n v="42"/>
  </r>
  <r>
    <x v="44"/>
    <s v="2020"/>
    <n v="51"/>
  </r>
  <r>
    <x v="44"/>
    <s v="2021"/>
    <n v="49"/>
  </r>
  <r>
    <x v="44"/>
    <s v="2022"/>
    <n v="51"/>
  </r>
  <r>
    <x v="44"/>
    <s v="2023"/>
    <n v="73"/>
  </r>
  <r>
    <x v="45"/>
    <s v="2010"/>
    <n v="35"/>
  </r>
  <r>
    <x v="45"/>
    <s v="2011"/>
    <n v="24"/>
  </r>
  <r>
    <x v="45"/>
    <s v="2012"/>
    <n v="37"/>
  </r>
  <r>
    <x v="45"/>
    <s v="2013"/>
    <n v="33"/>
  </r>
  <r>
    <x v="45"/>
    <s v="2014"/>
    <n v="36"/>
  </r>
  <r>
    <x v="45"/>
    <s v="2015"/>
    <n v="36"/>
  </r>
  <r>
    <x v="45"/>
    <s v="2016"/>
    <n v="44"/>
  </r>
  <r>
    <x v="45"/>
    <s v="2017"/>
    <n v="48"/>
  </r>
  <r>
    <x v="45"/>
    <s v="2018"/>
    <n v="40"/>
  </r>
  <r>
    <x v="45"/>
    <s v="2019"/>
    <n v="36"/>
  </r>
  <r>
    <x v="45"/>
    <s v="2020"/>
    <n v="31"/>
  </r>
  <r>
    <x v="45"/>
    <s v="2021"/>
    <n v="30"/>
  </r>
  <r>
    <x v="45"/>
    <s v="2022"/>
    <n v="33"/>
  </r>
  <r>
    <x v="45"/>
    <s v="2023"/>
    <n v="43"/>
  </r>
  <r>
    <x v="46"/>
    <s v="2010"/>
    <n v="61"/>
  </r>
  <r>
    <x v="46"/>
    <s v="2011"/>
    <n v="45"/>
  </r>
  <r>
    <x v="46"/>
    <s v="2012"/>
    <n v="45"/>
  </r>
  <r>
    <x v="46"/>
    <s v="2013"/>
    <n v="38"/>
  </r>
  <r>
    <x v="46"/>
    <s v="2014"/>
    <n v="37"/>
  </r>
  <r>
    <x v="46"/>
    <s v="2015"/>
    <n v="47"/>
  </r>
  <r>
    <x v="46"/>
    <s v="2016"/>
    <n v="32"/>
  </r>
  <r>
    <x v="46"/>
    <s v="2017"/>
    <n v="33"/>
  </r>
  <r>
    <x v="46"/>
    <s v="2018"/>
    <n v="26"/>
  </r>
  <r>
    <x v="46"/>
    <s v="2019"/>
    <n v="19"/>
  </r>
  <r>
    <x v="46"/>
    <s v="2020"/>
    <n v="25"/>
  </r>
  <r>
    <x v="46"/>
    <s v="2021"/>
    <n v="16"/>
  </r>
  <r>
    <x v="46"/>
    <s v="2022"/>
    <n v="48"/>
  </r>
  <r>
    <x v="46"/>
    <s v="2023"/>
    <n v="28"/>
  </r>
  <r>
    <x v="47"/>
    <s v="2010"/>
    <n v="24"/>
  </r>
  <r>
    <x v="47"/>
    <s v="2011"/>
    <n v="35"/>
  </r>
  <r>
    <x v="47"/>
    <s v="2012"/>
    <n v="30"/>
  </r>
  <r>
    <x v="47"/>
    <s v="2013"/>
    <n v="35"/>
  </r>
  <r>
    <x v="47"/>
    <s v="2014"/>
    <n v="25"/>
  </r>
  <r>
    <x v="47"/>
    <s v="2015"/>
    <n v="32"/>
  </r>
  <r>
    <x v="47"/>
    <s v="2016"/>
    <n v="35"/>
  </r>
  <r>
    <x v="47"/>
    <s v="2017"/>
    <n v="27"/>
  </r>
  <r>
    <x v="47"/>
    <s v="2018"/>
    <n v="22"/>
  </r>
  <r>
    <x v="47"/>
    <s v="2019"/>
    <n v="27"/>
  </r>
  <r>
    <x v="47"/>
    <s v="2020"/>
    <n v="33"/>
  </r>
  <r>
    <x v="47"/>
    <s v="2021"/>
    <n v="23"/>
  </r>
  <r>
    <x v="47"/>
    <s v="2022"/>
    <n v="30"/>
  </r>
  <r>
    <x v="47"/>
    <s v="2023"/>
    <n v="32"/>
  </r>
  <r>
    <x v="48"/>
    <s v="2010"/>
    <n v="39"/>
  </r>
  <r>
    <x v="48"/>
    <s v="2011"/>
    <n v="40"/>
  </r>
  <r>
    <x v="48"/>
    <s v="2012"/>
    <n v="37"/>
  </r>
  <r>
    <x v="48"/>
    <s v="2013"/>
    <n v="35"/>
  </r>
  <r>
    <x v="48"/>
    <s v="2014"/>
    <n v="35"/>
  </r>
  <r>
    <x v="48"/>
    <s v="2015"/>
    <n v="16"/>
  </r>
  <r>
    <x v="48"/>
    <s v="2016"/>
    <n v="20"/>
  </r>
  <r>
    <x v="48"/>
    <s v="2017"/>
    <n v="21"/>
  </r>
  <r>
    <x v="48"/>
    <s v="2018"/>
    <n v="25"/>
  </r>
  <r>
    <x v="48"/>
    <s v="2019"/>
    <n v="23"/>
  </r>
  <r>
    <x v="48"/>
    <s v="2020"/>
    <n v="17"/>
  </r>
  <r>
    <x v="48"/>
    <s v="2021"/>
    <n v="27"/>
  </r>
  <r>
    <x v="48"/>
    <s v="2022"/>
    <n v="29"/>
  </r>
  <r>
    <x v="48"/>
    <s v="2023"/>
    <n v="24"/>
  </r>
  <r>
    <x v="49"/>
    <s v="2010"/>
    <n v="27"/>
  </r>
  <r>
    <x v="49"/>
    <s v="2011"/>
    <n v="21"/>
  </r>
  <r>
    <x v="49"/>
    <s v="2012"/>
    <n v="29"/>
  </r>
  <r>
    <x v="49"/>
    <s v="2013"/>
    <n v="22"/>
  </r>
  <r>
    <x v="49"/>
    <s v="2014"/>
    <n v="17"/>
  </r>
  <r>
    <x v="49"/>
    <s v="2015"/>
    <n v="18"/>
  </r>
  <r>
    <x v="49"/>
    <s v="2016"/>
    <n v="20"/>
  </r>
  <r>
    <x v="49"/>
    <s v="2017"/>
    <n v="14"/>
  </r>
  <r>
    <x v="49"/>
    <s v="2018"/>
    <n v="24"/>
  </r>
  <r>
    <x v="49"/>
    <s v="2019"/>
    <n v="15"/>
  </r>
  <r>
    <x v="49"/>
    <s v="2020"/>
    <n v="17"/>
  </r>
  <r>
    <x v="49"/>
    <s v="2021"/>
    <n v="21"/>
  </r>
  <r>
    <x v="49"/>
    <s v="2022"/>
    <n v="24"/>
  </r>
  <r>
    <x v="49"/>
    <s v="2023"/>
    <n v="16"/>
  </r>
  <r>
    <x v="50"/>
    <s v="2010"/>
    <n v="6"/>
  </r>
  <r>
    <x v="50"/>
    <s v="2011"/>
    <n v="15"/>
  </r>
  <r>
    <x v="50"/>
    <s v="2012"/>
    <n v="22"/>
  </r>
  <r>
    <x v="50"/>
    <s v="2013"/>
    <n v="11"/>
  </r>
  <r>
    <x v="50"/>
    <s v="2014"/>
    <n v="13"/>
  </r>
  <r>
    <x v="50"/>
    <s v="2015"/>
    <n v="27"/>
  </r>
  <r>
    <x v="50"/>
    <s v="2016"/>
    <n v="24"/>
  </r>
  <r>
    <x v="50"/>
    <s v="2017"/>
    <n v="17"/>
  </r>
  <r>
    <x v="50"/>
    <s v="2018"/>
    <n v="21"/>
  </r>
  <r>
    <x v="50"/>
    <s v="2019"/>
    <n v="27"/>
  </r>
  <r>
    <x v="50"/>
    <s v="2020"/>
    <n v="21"/>
  </r>
  <r>
    <x v="50"/>
    <s v="2021"/>
    <n v="22"/>
  </r>
  <r>
    <x v="50"/>
    <s v="2022"/>
    <n v="24"/>
  </r>
  <r>
    <x v="50"/>
    <s v="2023"/>
    <n v="24"/>
  </r>
  <r>
    <x v="51"/>
    <s v="2010"/>
    <n v="16"/>
  </r>
  <r>
    <x v="51"/>
    <s v="2011"/>
    <n v="9"/>
  </r>
  <r>
    <x v="51"/>
    <s v="2012"/>
    <n v="10"/>
  </r>
  <r>
    <x v="51"/>
    <s v="2013"/>
    <n v="16"/>
  </r>
  <r>
    <x v="51"/>
    <s v="2014"/>
    <n v="23"/>
  </r>
  <r>
    <x v="51"/>
    <s v="2015"/>
    <n v="11"/>
  </r>
  <r>
    <x v="51"/>
    <s v="2016"/>
    <n v="12"/>
  </r>
  <r>
    <x v="51"/>
    <s v="2017"/>
    <n v="16"/>
  </r>
  <r>
    <x v="51"/>
    <s v="2018"/>
    <n v="22"/>
  </r>
  <r>
    <x v="51"/>
    <s v="2019"/>
    <n v="31"/>
  </r>
  <r>
    <x v="51"/>
    <s v="2020"/>
    <n v="12"/>
  </r>
  <r>
    <x v="51"/>
    <s v="2021"/>
    <n v="11"/>
  </r>
  <r>
    <x v="51"/>
    <s v="2022"/>
    <n v="23"/>
  </r>
  <r>
    <x v="51"/>
    <s v="2023"/>
    <n v="16"/>
  </r>
  <r>
    <x v="52"/>
    <s v="2010"/>
    <n v="10"/>
  </r>
  <r>
    <x v="52"/>
    <s v="2011"/>
    <n v="12"/>
  </r>
  <r>
    <x v="52"/>
    <s v="2012"/>
    <n v="14"/>
  </r>
  <r>
    <x v="52"/>
    <s v="2013"/>
    <n v="6"/>
  </r>
  <r>
    <x v="52"/>
    <s v="2014"/>
    <n v="9"/>
  </r>
  <r>
    <x v="52"/>
    <s v="2015"/>
    <n v="20"/>
  </r>
  <r>
    <x v="52"/>
    <s v="2016"/>
    <n v="13"/>
  </r>
  <r>
    <x v="52"/>
    <s v="2017"/>
    <n v="11"/>
  </r>
  <r>
    <x v="52"/>
    <s v="2018"/>
    <n v="10"/>
  </r>
  <r>
    <x v="52"/>
    <s v="2019"/>
    <n v="11"/>
  </r>
  <r>
    <x v="52"/>
    <s v="2020"/>
    <n v="10"/>
  </r>
  <r>
    <x v="52"/>
    <s v="2021"/>
    <n v="11"/>
  </r>
  <r>
    <x v="52"/>
    <s v="2022"/>
    <n v="11"/>
  </r>
  <r>
    <x v="52"/>
    <s v="2023"/>
    <n v="10"/>
  </r>
  <r>
    <x v="53"/>
    <s v="2010"/>
    <n v="4"/>
  </r>
  <r>
    <x v="53"/>
    <s v="2011"/>
    <n v="9"/>
  </r>
  <r>
    <x v="53"/>
    <s v="2012"/>
    <n v="7"/>
  </r>
  <r>
    <x v="53"/>
    <s v="2013"/>
    <n v="9"/>
  </r>
  <r>
    <x v="53"/>
    <s v="2014"/>
    <n v="14"/>
  </r>
  <r>
    <x v="53"/>
    <s v="2015"/>
    <n v="12"/>
  </r>
  <r>
    <x v="53"/>
    <s v="2016"/>
    <n v="14"/>
  </r>
  <r>
    <x v="53"/>
    <s v="2017"/>
    <n v="12"/>
  </r>
  <r>
    <x v="53"/>
    <s v="2018"/>
    <n v="11"/>
  </r>
  <r>
    <x v="53"/>
    <s v="2019"/>
    <n v="11"/>
  </r>
  <r>
    <x v="53"/>
    <s v="2020"/>
    <n v="6"/>
  </r>
  <r>
    <x v="53"/>
    <s v="2021"/>
    <n v="11"/>
  </r>
  <r>
    <x v="53"/>
    <s v="2022"/>
    <n v="5"/>
  </r>
  <r>
    <x v="53"/>
    <s v="2023"/>
    <n v="9"/>
  </r>
  <r>
    <x v="54"/>
    <s v="2010"/>
    <n v="11"/>
  </r>
  <r>
    <x v="54"/>
    <s v="2011"/>
    <n v="7"/>
  </r>
  <r>
    <x v="54"/>
    <s v="2012"/>
    <n v="3"/>
  </r>
  <r>
    <x v="54"/>
    <s v="2013"/>
    <n v="7"/>
  </r>
  <r>
    <x v="54"/>
    <s v="2014"/>
    <n v="12"/>
  </r>
  <r>
    <x v="54"/>
    <s v="2015"/>
    <n v="8"/>
  </r>
  <r>
    <x v="54"/>
    <s v="2016"/>
    <n v="6"/>
  </r>
  <r>
    <x v="54"/>
    <s v="2017"/>
    <n v="7"/>
  </r>
  <r>
    <x v="54"/>
    <s v="2018"/>
    <n v="8"/>
  </r>
  <r>
    <x v="54"/>
    <s v="2019"/>
    <n v="7"/>
  </r>
  <r>
    <x v="54"/>
    <s v="2020"/>
    <n v="5"/>
  </r>
  <r>
    <x v="54"/>
    <s v="2021"/>
    <n v="9"/>
  </r>
  <r>
    <x v="54"/>
    <s v="2022"/>
    <n v="11"/>
  </r>
  <r>
    <x v="54"/>
    <s v="2023"/>
    <n v="8"/>
  </r>
  <r>
    <x v="55"/>
    <s v="2010"/>
    <n v="1"/>
  </r>
  <r>
    <x v="55"/>
    <s v="2011"/>
    <n v="3"/>
  </r>
  <r>
    <x v="55"/>
    <s v="2012"/>
    <n v="5"/>
  </r>
  <r>
    <x v="55"/>
    <s v="2013"/>
    <n v="4"/>
  </r>
  <r>
    <x v="55"/>
    <s v="2014"/>
    <n v="5"/>
  </r>
  <r>
    <x v="55"/>
    <s v="2015"/>
    <n v="2"/>
  </r>
  <r>
    <x v="55"/>
    <s v="2016"/>
    <n v="3"/>
  </r>
  <r>
    <x v="55"/>
    <s v="2017"/>
    <n v="3"/>
  </r>
  <r>
    <x v="55"/>
    <s v="2018"/>
    <n v="3"/>
  </r>
  <r>
    <x v="55"/>
    <s v="2019"/>
    <n v="2"/>
  </r>
  <r>
    <x v="55"/>
    <s v="2020"/>
    <n v="5"/>
  </r>
  <r>
    <x v="55"/>
    <s v="2021"/>
    <n v="7"/>
  </r>
  <r>
    <x v="55"/>
    <s v="2022"/>
    <n v="3"/>
  </r>
  <r>
    <x v="55"/>
    <s v="2023"/>
    <n v="6"/>
  </r>
  <r>
    <x v="56"/>
    <s v="2010"/>
    <n v="2"/>
  </r>
  <r>
    <x v="56"/>
    <s v="2011"/>
    <n v="3"/>
  </r>
  <r>
    <x v="56"/>
    <s v="2012"/>
    <n v="1"/>
  </r>
  <r>
    <x v="56"/>
    <s v="2013"/>
    <n v="3"/>
  </r>
  <r>
    <x v="56"/>
    <s v="2014"/>
    <n v="1"/>
  </r>
  <r>
    <x v="56"/>
    <s v="2015"/>
    <n v="3"/>
  </r>
  <r>
    <x v="56"/>
    <s v="2016"/>
    <n v="3"/>
  </r>
  <r>
    <x v="56"/>
    <s v="2017"/>
    <n v="3"/>
  </r>
  <r>
    <x v="56"/>
    <s v="2018"/>
    <n v="5"/>
  </r>
  <r>
    <x v="56"/>
    <s v="2019"/>
    <n v="5"/>
  </r>
  <r>
    <x v="56"/>
    <s v="2020"/>
    <n v="3"/>
  </r>
  <r>
    <x v="56"/>
    <s v="2021"/>
    <n v="2"/>
  </r>
  <r>
    <x v="56"/>
    <s v="2022"/>
    <n v="3"/>
  </r>
  <r>
    <x v="56"/>
    <s v="2023"/>
    <n v="0"/>
  </r>
  <r>
    <x v="57"/>
    <s v="2010"/>
    <n v="0"/>
  </r>
  <r>
    <x v="57"/>
    <s v="2011"/>
    <n v="1"/>
  </r>
  <r>
    <x v="57"/>
    <s v="2012"/>
    <n v="0"/>
  </r>
  <r>
    <x v="57"/>
    <s v="2013"/>
    <n v="1"/>
  </r>
  <r>
    <x v="57"/>
    <s v="2014"/>
    <n v="0"/>
  </r>
  <r>
    <x v="57"/>
    <s v="2015"/>
    <n v="0"/>
  </r>
  <r>
    <x v="57"/>
    <s v="2016"/>
    <n v="0"/>
  </r>
  <r>
    <x v="57"/>
    <s v="2017"/>
    <n v="0"/>
  </r>
  <r>
    <x v="57"/>
    <s v="2018"/>
    <n v="0"/>
  </r>
  <r>
    <x v="57"/>
    <s v="2019"/>
    <n v="1"/>
  </r>
  <r>
    <x v="57"/>
    <s v="2020"/>
    <n v="4"/>
  </r>
  <r>
    <x v="57"/>
    <s v="2021"/>
    <n v="3"/>
  </r>
  <r>
    <x v="57"/>
    <s v="2022"/>
    <n v="3"/>
  </r>
  <r>
    <x v="57"/>
    <s v="2023"/>
    <n v="0"/>
  </r>
  <r>
    <x v="58"/>
    <s v="2010"/>
    <n v="0"/>
  </r>
  <r>
    <x v="58"/>
    <s v="2011"/>
    <n v="1"/>
  </r>
  <r>
    <x v="58"/>
    <s v="2012"/>
    <n v="0"/>
  </r>
  <r>
    <x v="58"/>
    <s v="2013"/>
    <n v="1"/>
  </r>
  <r>
    <x v="58"/>
    <s v="2014"/>
    <n v="0"/>
  </r>
  <r>
    <x v="58"/>
    <s v="2015"/>
    <n v="0"/>
  </r>
  <r>
    <x v="58"/>
    <s v="2016"/>
    <n v="0"/>
  </r>
  <r>
    <x v="58"/>
    <s v="2017"/>
    <n v="0"/>
  </r>
  <r>
    <x v="58"/>
    <s v="2018"/>
    <n v="0"/>
  </r>
  <r>
    <x v="58"/>
    <s v="2019"/>
    <n v="0"/>
  </r>
  <r>
    <x v="58"/>
    <s v="2020"/>
    <n v="0"/>
  </r>
  <r>
    <x v="58"/>
    <s v="2021"/>
    <n v="0"/>
  </r>
  <r>
    <x v="58"/>
    <s v="2022"/>
    <n v="0"/>
  </r>
  <r>
    <x v="58"/>
    <s v="2023"/>
    <n v="0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">
  <r>
    <x v="0"/>
    <s v="2010"/>
    <n v="67313"/>
  </r>
  <r>
    <x v="0"/>
    <s v="2011"/>
    <n v="68273"/>
  </r>
  <r>
    <x v="0"/>
    <s v="2012"/>
    <n v="66802"/>
  </r>
  <r>
    <x v="0"/>
    <s v="2013"/>
    <n v="66158"/>
  </r>
  <r>
    <x v="0"/>
    <s v="2014"/>
    <n v="64896"/>
  </r>
  <r>
    <x v="0"/>
    <s v="2015"/>
    <n v="65229"/>
  </r>
  <r>
    <x v="0"/>
    <s v="2016"/>
    <n v="67234"/>
  </r>
  <r>
    <x v="0"/>
    <s v="2017"/>
    <n v="64536"/>
  </r>
  <r>
    <x v="0"/>
    <s v="2018"/>
    <n v="63603"/>
  </r>
  <r>
    <x v="0"/>
    <s v="2019"/>
    <n v="63646"/>
  </r>
  <r>
    <x v="0"/>
    <s v="2020"/>
    <n v="59705"/>
  </r>
  <r>
    <x v="0"/>
    <s v="2021"/>
    <n v="63023"/>
  </r>
  <r>
    <x v="0"/>
    <s v="2022"/>
    <n v="64532"/>
  </r>
  <r>
    <x v="0"/>
    <s v="2023"/>
    <n v="63376"/>
  </r>
  <r>
    <x v="1"/>
    <s v="2010"/>
    <n v="5424"/>
  </r>
  <r>
    <x v="1"/>
    <s v="2011"/>
    <n v="5954"/>
  </r>
  <r>
    <x v="1"/>
    <s v="2012"/>
    <n v="6445"/>
  </r>
  <r>
    <x v="1"/>
    <s v="2013"/>
    <n v="7330"/>
  </r>
  <r>
    <x v="1"/>
    <s v="2014"/>
    <n v="7827"/>
  </r>
  <r>
    <x v="1"/>
    <s v="2015"/>
    <n v="8564"/>
  </r>
  <r>
    <x v="1"/>
    <s v="2016"/>
    <n v="9226"/>
  </r>
  <r>
    <x v="1"/>
    <s v="2017"/>
    <n v="9790"/>
  </r>
  <r>
    <x v="1"/>
    <s v="2018"/>
    <n v="9901"/>
  </r>
  <r>
    <x v="1"/>
    <s v="2019"/>
    <n v="10199"/>
  </r>
  <r>
    <x v="1"/>
    <s v="2020"/>
    <n v="9893"/>
  </r>
  <r>
    <x v="1"/>
    <s v="2021"/>
    <n v="11058"/>
  </r>
  <r>
    <x v="1"/>
    <s v="2022"/>
    <n v="10843"/>
  </r>
  <r>
    <x v="1"/>
    <s v="2023"/>
    <n v="10921"/>
  </r>
  <r>
    <x v="2"/>
    <s v="2010"/>
    <n v="21325"/>
  </r>
  <r>
    <x v="2"/>
    <s v="2011"/>
    <n v="22045"/>
  </r>
  <r>
    <x v="2"/>
    <s v="2012"/>
    <n v="21648"/>
  </r>
  <r>
    <x v="2"/>
    <s v="2013"/>
    <n v="22263"/>
  </r>
  <r>
    <x v="2"/>
    <s v="2014"/>
    <n v="22140"/>
  </r>
  <r>
    <x v="2"/>
    <s v="2015"/>
    <n v="22848"/>
  </r>
  <r>
    <x v="2"/>
    <s v="2016"/>
    <n v="23432"/>
  </r>
  <r>
    <x v="2"/>
    <s v="2017"/>
    <n v="22609"/>
  </r>
  <r>
    <x v="2"/>
    <s v="2018"/>
    <n v="22877"/>
  </r>
  <r>
    <x v="2"/>
    <s v="2019"/>
    <n v="22765"/>
  </r>
  <r>
    <x v="2"/>
    <s v="2020"/>
    <n v="24282"/>
  </r>
  <r>
    <x v="2"/>
    <s v="2021"/>
    <n v="25303"/>
  </r>
  <r>
    <x v="2"/>
    <s v="2022"/>
    <n v="26652"/>
  </r>
  <r>
    <x v="2"/>
    <s v="2023"/>
    <n v="25807"/>
  </r>
  <r>
    <x v="3"/>
    <s v="2010"/>
    <n v="2427"/>
  </r>
  <r>
    <x v="3"/>
    <s v="2011"/>
    <n v="2424"/>
  </r>
  <r>
    <x v="3"/>
    <s v="2012"/>
    <n v="2298"/>
  </r>
  <r>
    <x v="3"/>
    <s v="2013"/>
    <n v="2370"/>
  </r>
  <r>
    <x v="3"/>
    <s v="2014"/>
    <n v="2214"/>
  </r>
  <r>
    <x v="3"/>
    <s v="2015"/>
    <n v="2238"/>
  </r>
  <r>
    <x v="3"/>
    <s v="2016"/>
    <n v="2219"/>
  </r>
  <r>
    <x v="3"/>
    <s v="2017"/>
    <n v="2010"/>
  </r>
  <r>
    <x v="3"/>
    <s v="2018"/>
    <n v="1968"/>
  </r>
  <r>
    <x v="3"/>
    <s v="2019"/>
    <n v="2031"/>
  </r>
  <r>
    <x v="3"/>
    <s v="2020"/>
    <n v="1857"/>
  </r>
  <r>
    <x v="3"/>
    <s v="2021"/>
    <n v="1912"/>
  </r>
  <r>
    <x v="3"/>
    <s v="2022"/>
    <n v="2159"/>
  </r>
  <r>
    <x v="3"/>
    <s v="2023"/>
    <n v="2091"/>
  </r>
  <r>
    <x v="4"/>
    <s v="2010"/>
    <n v="3134"/>
  </r>
  <r>
    <x v="4"/>
    <s v="2011"/>
    <n v="3237"/>
  </r>
  <r>
    <x v="4"/>
    <s v="2012"/>
    <n v="3253"/>
  </r>
  <r>
    <x v="4"/>
    <s v="2013"/>
    <n v="3231"/>
  </r>
  <r>
    <x v="4"/>
    <s v="2014"/>
    <n v="3521"/>
  </r>
  <r>
    <x v="4"/>
    <s v="2015"/>
    <n v="3252"/>
  </r>
  <r>
    <x v="4"/>
    <s v="2016"/>
    <n v="3511"/>
  </r>
  <r>
    <x v="4"/>
    <s v="2017"/>
    <n v="3341"/>
  </r>
  <r>
    <x v="4"/>
    <s v="2018"/>
    <n v="3493"/>
  </r>
  <r>
    <x v="4"/>
    <s v="2019"/>
    <n v="3481"/>
  </r>
  <r>
    <x v="4"/>
    <s v="2020"/>
    <n v="3009"/>
  </r>
  <r>
    <x v="4"/>
    <s v="2021"/>
    <n v="3293"/>
  </r>
  <r>
    <x v="4"/>
    <s v="2022"/>
    <n v="3899"/>
  </r>
  <r>
    <x v="4"/>
    <s v="2023"/>
    <n v="394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500DF5-CA5D-4818-BA5E-53C3B19CF6DF}" name="Tabela dinâmica1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K4:L10" firstHeaderRow="1" firstDataRow="1" firstDataCol="1"/>
  <pivotFields count="3">
    <pivotField axis="axisRow" showAll="0">
      <items count="6">
        <item n="Região Norte" x="0"/>
        <item n="Região Nordeste" x="1"/>
        <item n="Região Sudeste" x="2"/>
        <item n="Região Sul" x="3"/>
        <item n="Região Centro-Oeste" x="4"/>
        <item t="default"/>
      </items>
    </pivotField>
    <pivotField showAll="0"/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oma de Obito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843CF4-C4FB-49CD-B79F-935537803B4C}" name="Tabela dinâmica2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J5:P21" firstHeaderRow="1" firstDataRow="2" firstDataCol="1"/>
  <pivotFields count="5">
    <pivotField axis="axisCol" showAll="0">
      <items count="6">
        <item x="4"/>
        <item x="1"/>
        <item x="0"/>
        <item x="2"/>
        <item x="3"/>
        <item t="default"/>
      </items>
    </pivotField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dataField="1" numFmtId="2" showAll="0"/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0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oma de Taxa_100k" fld="4" baseField="0" baseItem="0" numFmtId="2"/>
  </dataFields>
  <chartFormats count="5"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07DEA4-6689-4C86-81B0-9A28943496A9}" name="Tabela dinâmica7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N6:O12" firstHeaderRow="1" firstDataRow="1" firstDataCol="1"/>
  <pivotFields count="3">
    <pivotField axis="axisRow" showAll="0" sortType="ascending">
      <items count="6">
        <item x="2"/>
        <item x="0"/>
        <item x="4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showAll="0"/>
  </pivotFields>
  <rowFields count="1">
    <field x="0"/>
  </rowFields>
  <rowItems count="6">
    <i>
      <x v="2"/>
    </i>
    <i>
      <x/>
    </i>
    <i>
      <x v="4"/>
    </i>
    <i>
      <x v="3"/>
    </i>
    <i>
      <x v="1"/>
    </i>
    <i t="grand">
      <x/>
    </i>
  </rowItems>
  <colItems count="1">
    <i/>
  </colItems>
  <dataFields count="1">
    <dataField name="Soma de Obitos" fld="2" baseField="0" baseItem="0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6C68DD-835A-44E2-81A7-E970917F0244}" name="Tabela dinâmica6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H4:I10" firstHeaderRow="1" firstDataRow="1" firstDataCol="1"/>
  <pivotFields count="3">
    <pivotField axis="axisRow" showAll="0">
      <items count="6">
        <item x="2"/>
        <item x="0"/>
        <item x="1"/>
        <item x="4"/>
        <item x="3"/>
        <item t="default"/>
      </items>
    </pivotField>
    <pivotField showAll="0"/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oma de Obitos" fld="2" baseField="0" baseItem="0"/>
  </dataFields>
  <chartFormats count="6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CDC410-C651-4D9F-AAD9-9B106EB95438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N7:O18" firstHeaderRow="1" firstDataRow="1" firstDataCol="1"/>
  <pivotFields count="3"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oma de Obitos" fld="2" baseField="0" baseItem="0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ECF0B3-D4C1-4A32-9D7A-A9DA55DBA620}" name="Tabela dinâmica3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J5:K65" firstHeaderRow="1" firstDataRow="1" firstDataCol="1"/>
  <pivotFields count="3">
    <pivotField axis="axisRow" showAll="0" sortType="descending">
      <items count="60">
        <item x="47"/>
        <item x="39"/>
        <item x="56"/>
        <item x="12"/>
        <item x="43"/>
        <item x="45"/>
        <item x="25"/>
        <item x="31"/>
        <item x="1"/>
        <item x="5"/>
        <item x="8"/>
        <item x="15"/>
        <item x="57"/>
        <item x="28"/>
        <item x="0"/>
        <item x="37"/>
        <item x="10"/>
        <item x="4"/>
        <item x="6"/>
        <item x="18"/>
        <item x="48"/>
        <item x="42"/>
        <item x="26"/>
        <item x="17"/>
        <item x="21"/>
        <item x="13"/>
        <item x="51"/>
        <item x="53"/>
        <item x="20"/>
        <item x="38"/>
        <item x="3"/>
        <item x="34"/>
        <item x="49"/>
        <item x="14"/>
        <item x="33"/>
        <item x="16"/>
        <item x="9"/>
        <item x="2"/>
        <item x="7"/>
        <item x="19"/>
        <item x="32"/>
        <item x="27"/>
        <item x="22"/>
        <item x="23"/>
        <item x="29"/>
        <item x="54"/>
        <item x="11"/>
        <item x="44"/>
        <item x="30"/>
        <item x="35"/>
        <item x="52"/>
        <item x="24"/>
        <item x="50"/>
        <item x="36"/>
        <item x="55"/>
        <item x="41"/>
        <item x="40"/>
        <item x="58"/>
        <item x="4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</pivotFields>
  <rowFields count="1">
    <field x="0"/>
  </rowFields>
  <rowItems count="60">
    <i>
      <x v="14"/>
    </i>
    <i>
      <x v="8"/>
    </i>
    <i>
      <x v="37"/>
    </i>
    <i>
      <x v="30"/>
    </i>
    <i>
      <x v="17"/>
    </i>
    <i>
      <x v="9"/>
    </i>
    <i>
      <x v="18"/>
    </i>
    <i>
      <x v="38"/>
    </i>
    <i>
      <x v="10"/>
    </i>
    <i>
      <x v="36"/>
    </i>
    <i>
      <x v="16"/>
    </i>
    <i>
      <x v="46"/>
    </i>
    <i>
      <x v="3"/>
    </i>
    <i>
      <x v="25"/>
    </i>
    <i>
      <x v="33"/>
    </i>
    <i>
      <x v="11"/>
    </i>
    <i>
      <x v="35"/>
    </i>
    <i>
      <x v="23"/>
    </i>
    <i>
      <x v="19"/>
    </i>
    <i>
      <x v="39"/>
    </i>
    <i>
      <x v="28"/>
    </i>
    <i>
      <x v="24"/>
    </i>
    <i>
      <x v="42"/>
    </i>
    <i>
      <x v="43"/>
    </i>
    <i>
      <x v="51"/>
    </i>
    <i>
      <x v="6"/>
    </i>
    <i>
      <x v="22"/>
    </i>
    <i>
      <x v="41"/>
    </i>
    <i>
      <x v="13"/>
    </i>
    <i>
      <x v="44"/>
    </i>
    <i>
      <x v="48"/>
    </i>
    <i>
      <x v="7"/>
    </i>
    <i>
      <x v="40"/>
    </i>
    <i>
      <x v="34"/>
    </i>
    <i>
      <x v="31"/>
    </i>
    <i>
      <x v="49"/>
    </i>
    <i>
      <x v="53"/>
    </i>
    <i>
      <x v="15"/>
    </i>
    <i>
      <x v="29"/>
    </i>
    <i>
      <x v="1"/>
    </i>
    <i>
      <x v="56"/>
    </i>
    <i>
      <x v="55"/>
    </i>
    <i>
      <x v="21"/>
    </i>
    <i>
      <x v="4"/>
    </i>
    <i>
      <x v="47"/>
    </i>
    <i>
      <x v="5"/>
    </i>
    <i>
      <x v="58"/>
    </i>
    <i>
      <x/>
    </i>
    <i>
      <x v="20"/>
    </i>
    <i>
      <x v="32"/>
    </i>
    <i>
      <x v="52"/>
    </i>
    <i>
      <x v="26"/>
    </i>
    <i>
      <x v="50"/>
    </i>
    <i>
      <x v="27"/>
    </i>
    <i>
      <x v="45"/>
    </i>
    <i>
      <x v="54"/>
    </i>
    <i>
      <x v="2"/>
    </i>
    <i>
      <x v="12"/>
    </i>
    <i>
      <x v="57"/>
    </i>
    <i t="grand">
      <x/>
    </i>
  </rowItems>
  <colItems count="1">
    <i/>
  </colItems>
  <dataFields count="1">
    <dataField name="Soma de Obito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7" connectionId="7" xr16:uid="{67E1724F-5608-43B9-9BA0-55B789D876A3}" autoFormatId="16" applyNumberFormats="0" applyBorderFormats="0" applyFontFormats="0" applyPatternFormats="0" applyAlignmentFormats="0" applyWidthHeightFormats="0">
  <queryTableRefresh nextId="4">
    <queryTableFields count="3">
      <queryTableField id="1" name="Sexo" tableColumnId="1"/>
      <queryTableField id="2" name="Ano" tableColumnId="2"/>
      <queryTableField id="3" name="Obitos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6" connectionId="6" xr16:uid="{F146E225-45CD-4683-B25E-5B3B71BBC9A4}" autoFormatId="16" applyNumberFormats="0" applyBorderFormats="0" applyFontFormats="0" applyPatternFormats="0" applyAlignmentFormats="0" applyWidthHeightFormats="0">
  <queryTableRefresh nextId="4">
    <queryTableFields count="3">
      <queryTableField id="1" name="Região" tableColumnId="1"/>
      <queryTableField id="2" name="Atributo" tableColumnId="2"/>
      <queryTableField id="3" name="Valor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5" connectionId="5" xr16:uid="{804729CD-9DC6-474A-B303-89098D06E474}" autoFormatId="16" applyNumberFormats="0" applyBorderFormats="0" applyFontFormats="0" applyPatternFormats="0" applyAlignmentFormats="0" applyWidthHeightFormats="0">
  <queryTableRefresh nextId="4">
    <queryTableFields count="3">
      <queryTableField id="1" name="Cor/raça" tableColumnId="1"/>
      <queryTableField id="2" name="Atributo" tableColumnId="2"/>
      <queryTableField id="3" name="Valor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4" connectionId="4" xr16:uid="{6B52FB0B-6C2B-4EB0-B5C9-C1B81C917314}" autoFormatId="16" applyNumberFormats="0" applyBorderFormats="0" applyFontFormats="0" applyPatternFormats="0" applyAlignmentFormats="0" applyWidthHeightFormats="0">
  <queryTableRefresh nextId="4">
    <queryTableFields count="3">
      <queryTableField id="1" name="Local ocorrência" tableColumnId="1"/>
      <queryTableField id="2" name="Atributo" tableColumnId="2"/>
      <queryTableField id="3" name="Valor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connectionId="3" xr16:uid="{59D6ADE2-7D5B-465D-9E53-36962807A461}" autoFormatId="16" applyNumberFormats="0" applyBorderFormats="0" applyFontFormats="0" applyPatternFormats="0" applyAlignmentFormats="0" applyWidthHeightFormats="0">
  <queryTableRefresh nextId="4">
    <queryTableFields count="3">
      <queryTableField id="1" name="Faixa Etária" tableColumnId="1"/>
      <queryTableField id="2" name="Masc" tableColumnId="2"/>
      <queryTableField id="3" name="Fem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2" xr16:uid="{D58C8759-3AD7-441E-BA4B-4D1060A8E288}" autoFormatId="16" applyNumberFormats="0" applyBorderFormats="0" applyFontFormats="0" applyPatternFormats="0" applyAlignmentFormats="0" applyWidthHeightFormats="0">
  <queryTableRefresh nextId="4">
    <queryTableFields count="3">
      <queryTableField id="1" name="Faixa Etária" tableColumnId="1"/>
      <queryTableField id="2" name="Atributo" tableColumnId="2"/>
      <queryTableField id="3" name="Valor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8" xr16:uid="{D62AE653-FCD4-48C7-A88F-B3123C61DC45}" autoFormatId="16" applyNumberFormats="0" applyBorderFormats="0" applyFontFormats="0" applyPatternFormats="0" applyAlignmentFormats="0" applyWidthHeightFormats="0">
  <queryTableRefresh nextId="3">
    <queryTableFields count="2">
      <queryTableField id="1" name="Ano" tableColumnId="1"/>
      <queryTableField id="2" name="Obitos" tableColumnId="2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8A9A49E2-FC16-4957-B13B-F7E5F302EEA8}" autoFormatId="16" applyNumberFormats="0" applyBorderFormats="0" applyFontFormats="0" applyPatternFormats="0" applyAlignmentFormats="0" applyWidthHeightFormats="0">
  <queryTableRefresh nextId="4">
    <queryTableFields count="3">
      <queryTableField id="1" name="Categoria CID-10" tableColumnId="1"/>
      <queryTableField id="2" name="Atributo" tableColumnId="2"/>
      <queryTableField id="3" name="Valor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1776778-C91E-4441-878F-E01C47154553}" name="cv_sexo_15a64" displayName="cv_sexo_15a64" ref="A1:C29" tableType="queryTable" totalsRowShown="0">
  <autoFilter ref="A1:C29" xr:uid="{91776778-C91E-4441-878F-E01C47154553}"/>
  <tableColumns count="3">
    <tableColumn id="1" xr3:uid="{C114F0B6-FAE6-40ED-9628-E7421F69A3DD}" uniqueName="1" name="Sexo" queryTableFieldId="1" dataDxfId="15"/>
    <tableColumn id="2" xr3:uid="{02E9D1C9-0549-4697-98B6-02BAAA066352}" uniqueName="2" name="Ano" queryTableFieldId="2" dataDxfId="14"/>
    <tableColumn id="3" xr3:uid="{3F62069D-1666-4FF7-9D0E-CDD9C6757474}" uniqueName="3" name="Obitos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EF42424-96FC-4248-BA78-44BCF197805F}" name="cv_regiao_15a64" displayName="cv_regiao_15a64" ref="A1:C71" tableType="queryTable" totalsRowShown="0">
  <autoFilter ref="A1:C71" xr:uid="{8EF42424-96FC-4248-BA78-44BCF197805F}"/>
  <tableColumns count="3">
    <tableColumn id="1" xr3:uid="{698133A9-B85E-4926-AAEC-CC4E373A14EF}" uniqueName="1" name="Região" queryTableFieldId="1" dataDxfId="13"/>
    <tableColumn id="2" xr3:uid="{0B2B7DE7-CF44-4FB8-97F7-C8145474C011}" uniqueName="2" name="Ano" queryTableFieldId="2" dataDxfId="12"/>
    <tableColumn id="3" xr3:uid="{EE4CA229-62F6-46DC-BEDA-71A61232AFAC}" uniqueName="3" name="Obitos" queryTableField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10D8200-7E10-4745-8AB7-B0968A26E43A}" name="Tabela9" displayName="Tabela9" ref="B2:F72" totalsRowShown="0">
  <autoFilter ref="B2:F72" xr:uid="{C10D8200-7E10-4745-8AB7-B0968A26E43A}"/>
  <tableColumns count="5">
    <tableColumn id="1" xr3:uid="{54D2C8D5-4C1C-41E9-92CC-E84FE22AB770}" name="Regiao" dataDxfId="11"/>
    <tableColumn id="2" xr3:uid="{DEC9B4E1-9527-49C9-8144-789B01A1AF0C}" name="Ano" dataDxfId="10"/>
    <tableColumn id="3" xr3:uid="{E66508D8-3092-473D-B850-3D29E247345D}" name="Obitos" dataDxfId="9"/>
    <tableColumn id="4" xr3:uid="{F87E8EFE-A75D-4261-8BB0-05CF768A2903}" name="Populacao"/>
    <tableColumn id="5" xr3:uid="{0035E1FE-26F0-42C4-BEE1-71F6066A61B8}" name="Taxa_100k" dataDxfId="8">
      <calculatedColumnFormula>(D3/E3)*100000</calculatedColumnFormula>
    </tableColumn>
  </tableColumns>
  <tableStyleInfo name="TableStyleLight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B082C53-E206-4638-95AE-B9DF62D8D93F}" name="cv_raca_15a64" displayName="cv_raca_15a64" ref="A1:C71" tableType="queryTable" totalsRowShown="0">
  <autoFilter ref="A1:C71" xr:uid="{EB082C53-E206-4638-95AE-B9DF62D8D93F}"/>
  <tableColumns count="3">
    <tableColumn id="1" xr3:uid="{64EF9088-6E62-47BA-AA04-5EC71AEE0FB7}" uniqueName="1" name="Cor/raça" queryTableFieldId="1" dataDxfId="7"/>
    <tableColumn id="2" xr3:uid="{D0EEB32D-9B73-492F-BE79-176440C0CBF8}" uniqueName="2" name="Ano" queryTableFieldId="2" dataDxfId="6"/>
    <tableColumn id="3" xr3:uid="{7D112591-FA2F-45B7-A010-90B4C68F25E9}" uniqueName="3" name="Obitos" queryTableFieldId="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4BB4512-0C35-49B1-BFEC-0B5A80F4A0F7}" name="cv_local_15a64" displayName="cv_local_15a64" ref="A1:C71" tableType="queryTable" totalsRowShown="0">
  <autoFilter ref="A1:C71" xr:uid="{64BB4512-0C35-49B1-BFEC-0B5A80F4A0F7}"/>
  <tableColumns count="3">
    <tableColumn id="1" xr3:uid="{A153C630-DB36-40C2-B0BE-6EB764D4386C}" uniqueName="1" name="Local ocorrência" queryTableFieldId="1" dataDxfId="5"/>
    <tableColumn id="2" xr3:uid="{8D399CBB-F6DD-4C28-B5BF-601C62E8E99C}" uniqueName="2" name="Ano" queryTableFieldId="2" dataDxfId="4"/>
    <tableColumn id="3" xr3:uid="{789F4B87-EE83-4E47-95B9-B44E9D0665FB}" uniqueName="3" name="Obitos" queryTableFieldId="3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AAD80E0-12BB-4A49-9E53-D538DC310A40}" name="cv_faixaetaria_sexo_15a64" displayName="cv_faixaetaria_sexo_15a64" ref="A1:C11" tableType="queryTable" totalsRowShown="0">
  <autoFilter ref="A1:C11" xr:uid="{8AAD80E0-12BB-4A49-9E53-D538DC310A40}"/>
  <tableColumns count="3">
    <tableColumn id="1" xr3:uid="{0F2CF948-445D-4050-B35D-09B662C19B36}" uniqueName="1" name="Faixa Etária" queryTableFieldId="1" dataDxfId="3"/>
    <tableColumn id="2" xr3:uid="{EBC8C48B-22B0-4A19-B5CF-C9AF31370DF9}" uniqueName="2" name="Masc" queryTableFieldId="2"/>
    <tableColumn id="3" xr3:uid="{5D90805C-62C9-4744-AF7C-921F0C3EDE9F}" uniqueName="3" name="Fem" queryTableFieldId="3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04B3998-0E43-4C73-9ACB-D6790AC8CBED}" name="cv_faixaetaria_ano_15a64" displayName="cv_faixaetaria_ano_15a64" ref="A1:C141" tableType="queryTable" totalsRowShown="0">
  <autoFilter ref="A1:C141" xr:uid="{E04B3998-0E43-4C73-9ACB-D6790AC8CBED}"/>
  <tableColumns count="3">
    <tableColumn id="1" xr3:uid="{9F0A0B32-CE28-4252-970C-CBEF76D60923}" uniqueName="1" name="Faixa Etária" queryTableFieldId="1" dataDxfId="2"/>
    <tableColumn id="2" xr3:uid="{DC1B9F70-96B3-4840-A593-2CEC46918957}" uniqueName="2" name="Ano" queryTableFieldId="2" dataDxfId="1"/>
    <tableColumn id="3" xr3:uid="{C8F1595B-1B9B-4D48-BC46-42B9B942921D}" uniqueName="3" name="Obitos" queryTableFieldId="3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CB342D0-E6BF-4071-9B83-CB10C629DF13}" name="cv_total_15a64" displayName="cv_total_15a64" ref="A1:B15" tableType="queryTable" totalsRowShown="0">
  <autoFilter ref="A1:B15" xr:uid="{6CB342D0-E6BF-4071-9B83-CB10C629DF13}"/>
  <tableColumns count="2">
    <tableColumn id="1" xr3:uid="{3D643491-F8D6-4BE8-88A6-F8705135C5D1}" uniqueName="1" name="Ano" queryTableFieldId="1"/>
    <tableColumn id="2" xr3:uid="{6593B7DC-7D4D-4C18-8D39-62C75DC0C328}" uniqueName="2" name="Obitos" queryTableFieldId="2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3AA22C-2EAB-4C53-A0DA-B1E8BF933F94}" name="cv_cid_15a64_csv" displayName="cv_cid_15a64_csv" ref="A1:C827" tableType="queryTable" totalsRowShown="0">
  <autoFilter ref="A1:C827" xr:uid="{7D3AA22C-2EAB-4C53-A0DA-B1E8BF933F94}"/>
  <tableColumns count="3">
    <tableColumn id="1" xr3:uid="{08870051-E4FB-481F-8799-7D2C90247B23}" uniqueName="1" name="Categoria CID-10" queryTableFieldId="1"/>
    <tableColumn id="2" xr3:uid="{8840C5D0-B487-437E-B92D-FA41EBE2EB55}" uniqueName="2" name="Ano" queryTableFieldId="2" dataDxfId="0"/>
    <tableColumn id="3" xr3:uid="{554BA584-E722-45C6-A97C-0765A558C42B}" uniqueName="3" name="Obitos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35E97-72EE-43E9-88BA-20F753F63FA6}">
  <dimension ref="K24:U160"/>
  <sheetViews>
    <sheetView tabSelected="1" topLeftCell="A151" zoomScale="110" zoomScaleNormal="130" workbookViewId="0">
      <selection activeCell="K160" sqref="K160"/>
    </sheetView>
  </sheetViews>
  <sheetFormatPr defaultRowHeight="14.4" x14ac:dyDescent="0.3"/>
  <cols>
    <col min="11" max="11" width="16.5546875" bestFit="1" customWidth="1"/>
    <col min="12" max="12" width="26.88671875" bestFit="1" customWidth="1"/>
    <col min="13" max="13" width="12.109375" bestFit="1" customWidth="1"/>
    <col min="14" max="14" width="9" bestFit="1" customWidth="1"/>
  </cols>
  <sheetData>
    <row r="24" spans="11:21" x14ac:dyDescent="0.3">
      <c r="K24" s="4" t="s">
        <v>106</v>
      </c>
      <c r="L24" s="4" t="s">
        <v>107</v>
      </c>
      <c r="M24" s="4" t="s">
        <v>108</v>
      </c>
      <c r="U24" s="3"/>
    </row>
    <row r="25" spans="11:21" x14ac:dyDescent="0.3">
      <c r="K25" s="5" t="s">
        <v>109</v>
      </c>
      <c r="L25" s="6">
        <v>8546</v>
      </c>
      <c r="M25" s="7">
        <v>6.0000000000000001E-3</v>
      </c>
    </row>
    <row r="26" spans="11:21" x14ac:dyDescent="0.3">
      <c r="K26" s="5" t="s">
        <v>110</v>
      </c>
      <c r="L26" s="6">
        <v>13989</v>
      </c>
      <c r="M26" s="7">
        <v>0.01</v>
      </c>
    </row>
    <row r="27" spans="11:21" x14ac:dyDescent="0.3">
      <c r="K27" s="5" t="s">
        <v>111</v>
      </c>
      <c r="L27" s="6">
        <v>21556</v>
      </c>
      <c r="M27" s="7">
        <v>1.4999999999999999E-2</v>
      </c>
    </row>
    <row r="28" spans="11:21" x14ac:dyDescent="0.3">
      <c r="K28" s="5" t="s">
        <v>112</v>
      </c>
      <c r="L28" s="6">
        <v>36346</v>
      </c>
      <c r="M28" s="7">
        <v>2.5000000000000001E-2</v>
      </c>
    </row>
    <row r="29" spans="11:21" x14ac:dyDescent="0.3">
      <c r="K29" s="5" t="s">
        <v>113</v>
      </c>
      <c r="L29" s="6">
        <v>62175</v>
      </c>
      <c r="M29" s="7">
        <v>4.2999999999999997E-2</v>
      </c>
    </row>
    <row r="30" spans="11:21" x14ac:dyDescent="0.3">
      <c r="K30" s="5" t="s">
        <v>114</v>
      </c>
      <c r="L30" s="6">
        <v>104817</v>
      </c>
      <c r="M30" s="7">
        <v>7.2999999999999995E-2</v>
      </c>
    </row>
    <row r="31" spans="11:21" x14ac:dyDescent="0.3">
      <c r="K31" s="5" t="s">
        <v>115</v>
      </c>
      <c r="L31" s="6">
        <v>165361</v>
      </c>
      <c r="M31" s="7">
        <v>0.115</v>
      </c>
    </row>
    <row r="32" spans="11:21" x14ac:dyDescent="0.3">
      <c r="K32" s="5" t="s">
        <v>116</v>
      </c>
      <c r="L32" s="6">
        <v>245778</v>
      </c>
      <c r="M32" s="7">
        <v>0.17100000000000001</v>
      </c>
    </row>
    <row r="33" spans="11:13" x14ac:dyDescent="0.3">
      <c r="K33" s="5" t="s">
        <v>117</v>
      </c>
      <c r="L33" s="6">
        <v>338204</v>
      </c>
      <c r="M33" s="7">
        <v>0.23499999999999999</v>
      </c>
    </row>
    <row r="34" spans="11:13" x14ac:dyDescent="0.3">
      <c r="K34" s="5" t="s">
        <v>118</v>
      </c>
      <c r="L34" s="6">
        <v>439919</v>
      </c>
      <c r="M34" s="7">
        <v>0.30599999999999999</v>
      </c>
    </row>
    <row r="44" spans="11:13" x14ac:dyDescent="0.3">
      <c r="K44" s="9" t="s">
        <v>106</v>
      </c>
      <c r="L44" s="9" t="s">
        <v>119</v>
      </c>
      <c r="M44" s="9" t="s">
        <v>120</v>
      </c>
    </row>
    <row r="45" spans="11:13" x14ac:dyDescent="0.3">
      <c r="K45" s="10" t="s">
        <v>109</v>
      </c>
      <c r="L45" s="11">
        <v>0.63400000000000001</v>
      </c>
      <c r="M45" s="11">
        <v>0.36599999999999999</v>
      </c>
    </row>
    <row r="46" spans="11:13" x14ac:dyDescent="0.3">
      <c r="K46" s="10" t="s">
        <v>110</v>
      </c>
      <c r="L46" s="11">
        <v>0.63300000000000001</v>
      </c>
      <c r="M46" s="11">
        <v>0.36699999999999999</v>
      </c>
    </row>
    <row r="47" spans="11:13" x14ac:dyDescent="0.3">
      <c r="K47" s="10" t="s">
        <v>111</v>
      </c>
      <c r="L47" s="11">
        <v>0.628</v>
      </c>
      <c r="M47" s="11">
        <v>0.372</v>
      </c>
    </row>
    <row r="48" spans="11:13" x14ac:dyDescent="0.3">
      <c r="K48" s="10" t="s">
        <v>112</v>
      </c>
      <c r="L48" s="11">
        <v>0.621</v>
      </c>
      <c r="M48" s="11">
        <v>0.379</v>
      </c>
    </row>
    <row r="49" spans="11:13" x14ac:dyDescent="0.3">
      <c r="K49" s="10" t="s">
        <v>113</v>
      </c>
      <c r="L49" s="11">
        <v>0.60899999999999999</v>
      </c>
      <c r="M49" s="11">
        <v>0.39100000000000001</v>
      </c>
    </row>
    <row r="50" spans="11:13" x14ac:dyDescent="0.3">
      <c r="K50" s="10" t="s">
        <v>114</v>
      </c>
      <c r="L50" s="11">
        <v>0.60299999999999998</v>
      </c>
      <c r="M50" s="11">
        <v>0.39700000000000002</v>
      </c>
    </row>
    <row r="51" spans="11:13" x14ac:dyDescent="0.3">
      <c r="K51" s="10" t="s">
        <v>115</v>
      </c>
      <c r="L51" s="11">
        <v>0.60799999999999998</v>
      </c>
      <c r="M51" s="11">
        <v>0.39200000000000002</v>
      </c>
    </row>
    <row r="52" spans="11:13" x14ac:dyDescent="0.3">
      <c r="K52" s="10" t="s">
        <v>116</v>
      </c>
      <c r="L52" s="11">
        <v>0.628</v>
      </c>
      <c r="M52" s="11">
        <v>0.372</v>
      </c>
    </row>
    <row r="53" spans="11:13" x14ac:dyDescent="0.3">
      <c r="K53" s="10" t="s">
        <v>117</v>
      </c>
      <c r="L53" s="11">
        <v>0.63100000000000001</v>
      </c>
      <c r="M53" s="11">
        <v>0.36899999999999999</v>
      </c>
    </row>
    <row r="54" spans="11:13" x14ac:dyDescent="0.3">
      <c r="K54" s="10" t="s">
        <v>118</v>
      </c>
      <c r="L54" s="11">
        <v>0.61699999999999999</v>
      </c>
      <c r="M54" s="11">
        <v>0.38300000000000001</v>
      </c>
    </row>
    <row r="65" spans="11:13" x14ac:dyDescent="0.3">
      <c r="K65" s="9" t="s">
        <v>121</v>
      </c>
      <c r="L65" s="9" t="s">
        <v>107</v>
      </c>
      <c r="M65" s="9" t="s">
        <v>108</v>
      </c>
    </row>
    <row r="66" spans="11:13" x14ac:dyDescent="0.3">
      <c r="K66" s="10" t="s">
        <v>94</v>
      </c>
      <c r="L66" s="12">
        <v>626464</v>
      </c>
      <c r="M66" s="11">
        <v>0.436</v>
      </c>
    </row>
    <row r="67" spans="11:13" x14ac:dyDescent="0.3">
      <c r="K67" s="10" t="s">
        <v>97</v>
      </c>
      <c r="L67" s="12">
        <v>593568</v>
      </c>
      <c r="M67" s="11">
        <v>0.41299999999999998</v>
      </c>
    </row>
    <row r="68" spans="11:13" x14ac:dyDescent="0.3">
      <c r="K68" s="10" t="s">
        <v>95</v>
      </c>
      <c r="L68" s="12">
        <v>160676</v>
      </c>
      <c r="M68" s="11">
        <v>0.112</v>
      </c>
    </row>
    <row r="69" spans="11:13" x14ac:dyDescent="0.3">
      <c r="K69" s="10" t="s">
        <v>96</v>
      </c>
      <c r="L69" s="12">
        <v>5292</v>
      </c>
      <c r="M69" s="11">
        <v>4.0000000000000001E-3</v>
      </c>
    </row>
    <row r="70" spans="11:13" x14ac:dyDescent="0.3">
      <c r="K70" s="10" t="s">
        <v>98</v>
      </c>
      <c r="L70" s="12">
        <v>2863</v>
      </c>
      <c r="M70" s="11">
        <v>2E-3</v>
      </c>
    </row>
    <row r="85" spans="11:13" x14ac:dyDescent="0.3">
      <c r="K85" s="4" t="s">
        <v>99</v>
      </c>
      <c r="L85" s="4" t="s">
        <v>142</v>
      </c>
      <c r="M85" s="4" t="s">
        <v>132</v>
      </c>
    </row>
    <row r="86" spans="11:13" x14ac:dyDescent="0.3">
      <c r="K86" s="5" t="s">
        <v>133</v>
      </c>
      <c r="L86" s="22">
        <v>82</v>
      </c>
      <c r="M86" s="5" t="s">
        <v>134</v>
      </c>
    </row>
    <row r="87" spans="11:13" x14ac:dyDescent="0.3">
      <c r="K87" s="5" t="s">
        <v>135</v>
      </c>
      <c r="L87" s="22">
        <v>68.900000000000006</v>
      </c>
      <c r="M87" s="5" t="s">
        <v>136</v>
      </c>
    </row>
    <row r="88" spans="11:13" x14ac:dyDescent="0.3">
      <c r="K88" s="5" t="s">
        <v>137</v>
      </c>
      <c r="L88" s="22">
        <v>67.599999999999994</v>
      </c>
      <c r="M88" s="5" t="s">
        <v>136</v>
      </c>
    </row>
    <row r="89" spans="11:13" x14ac:dyDescent="0.3">
      <c r="K89" s="5" t="s">
        <v>138</v>
      </c>
      <c r="L89" s="22">
        <v>67</v>
      </c>
      <c r="M89" s="5" t="s">
        <v>139</v>
      </c>
    </row>
    <row r="90" spans="11:13" x14ac:dyDescent="0.3">
      <c r="K90" s="5" t="s">
        <v>140</v>
      </c>
      <c r="L90" s="22">
        <v>48.3</v>
      </c>
      <c r="M90" s="5" t="s">
        <v>141</v>
      </c>
    </row>
    <row r="109" spans="11:14" x14ac:dyDescent="0.3">
      <c r="K109" s="9" t="s">
        <v>143</v>
      </c>
      <c r="L109" s="9" t="s">
        <v>144</v>
      </c>
      <c r="M109" s="9" t="s">
        <v>107</v>
      </c>
      <c r="N109" s="9" t="s">
        <v>108</v>
      </c>
    </row>
    <row r="110" spans="11:14" x14ac:dyDescent="0.3">
      <c r="K110" s="10" t="s">
        <v>145</v>
      </c>
      <c r="L110" s="10" t="s">
        <v>146</v>
      </c>
      <c r="M110" s="12">
        <v>456123</v>
      </c>
      <c r="N110" s="11">
        <v>0.317</v>
      </c>
    </row>
    <row r="111" spans="11:14" x14ac:dyDescent="0.3">
      <c r="K111" s="10" t="s">
        <v>147</v>
      </c>
      <c r="L111" s="10" t="s">
        <v>148</v>
      </c>
      <c r="M111" s="12">
        <v>92325</v>
      </c>
      <c r="N111" s="11">
        <v>6.4000000000000001E-2</v>
      </c>
    </row>
    <row r="112" spans="11:14" x14ac:dyDescent="0.3">
      <c r="K112" s="10" t="s">
        <v>149</v>
      </c>
      <c r="L112" s="10" t="s">
        <v>150</v>
      </c>
      <c r="M112" s="12">
        <v>78252</v>
      </c>
      <c r="N112" s="11">
        <v>5.3999999999999999E-2</v>
      </c>
    </row>
    <row r="113" spans="11:14" x14ac:dyDescent="0.3">
      <c r="K113" s="10" t="s">
        <v>151</v>
      </c>
      <c r="L113" s="10" t="s">
        <v>152</v>
      </c>
      <c r="M113" s="12">
        <v>69890</v>
      </c>
      <c r="N113" s="11">
        <v>4.9000000000000002E-2</v>
      </c>
    </row>
    <row r="114" spans="11:14" x14ac:dyDescent="0.3">
      <c r="K114" s="10" t="s">
        <v>153</v>
      </c>
      <c r="L114" s="10" t="s">
        <v>154</v>
      </c>
      <c r="M114" s="12">
        <v>64525</v>
      </c>
      <c r="N114" s="11">
        <v>4.4999999999999998E-2</v>
      </c>
    </row>
    <row r="115" spans="11:14" x14ac:dyDescent="0.3">
      <c r="K115" s="10" t="s">
        <v>155</v>
      </c>
      <c r="L115" s="10" t="s">
        <v>156</v>
      </c>
      <c r="M115" s="12">
        <v>54022</v>
      </c>
      <c r="N115" s="11">
        <v>3.7999999999999999E-2</v>
      </c>
    </row>
    <row r="116" spans="11:14" x14ac:dyDescent="0.3">
      <c r="K116" s="10" t="s">
        <v>157</v>
      </c>
      <c r="L116" s="10" t="s">
        <v>158</v>
      </c>
      <c r="M116" s="12">
        <v>34540</v>
      </c>
      <c r="N116" s="11">
        <v>2.4E-2</v>
      </c>
    </row>
    <row r="117" spans="11:14" x14ac:dyDescent="0.3">
      <c r="K117" s="10" t="s">
        <v>159</v>
      </c>
      <c r="L117" s="10" t="s">
        <v>160</v>
      </c>
      <c r="M117" s="12">
        <v>22752</v>
      </c>
      <c r="N117" s="11">
        <v>1.6E-2</v>
      </c>
    </row>
    <row r="118" spans="11:14" x14ac:dyDescent="0.3">
      <c r="K118" s="10" t="s">
        <v>161</v>
      </c>
      <c r="L118" s="10" t="s">
        <v>162</v>
      </c>
      <c r="M118" s="12">
        <v>19232</v>
      </c>
      <c r="N118" s="11">
        <v>1.2999999999999999E-2</v>
      </c>
    </row>
    <row r="119" spans="11:14" x14ac:dyDescent="0.3">
      <c r="K119" s="10" t="s">
        <v>163</v>
      </c>
      <c r="L119" s="10" t="s">
        <v>164</v>
      </c>
      <c r="M119" s="12">
        <v>12480</v>
      </c>
      <c r="N119" s="11">
        <v>8.9999999999999993E-3</v>
      </c>
    </row>
    <row r="132" spans="11:13" x14ac:dyDescent="0.3">
      <c r="K132" s="9" t="s">
        <v>165</v>
      </c>
      <c r="L132" s="9" t="s">
        <v>107</v>
      </c>
      <c r="M132" s="9" t="s">
        <v>108</v>
      </c>
    </row>
    <row r="133" spans="11:13" x14ac:dyDescent="0.3">
      <c r="K133" s="10" t="s">
        <v>88</v>
      </c>
      <c r="L133" s="23">
        <v>908326</v>
      </c>
      <c r="M133" s="24">
        <v>0.63200000000000001</v>
      </c>
    </row>
    <row r="134" spans="11:13" x14ac:dyDescent="0.3">
      <c r="K134" s="10" t="s">
        <v>90</v>
      </c>
      <c r="L134" s="23">
        <v>325996</v>
      </c>
      <c r="M134" s="24">
        <v>0.22700000000000001</v>
      </c>
    </row>
    <row r="135" spans="11:13" x14ac:dyDescent="0.3">
      <c r="K135" s="5" t="s">
        <v>166</v>
      </c>
      <c r="L135" s="23">
        <v>123375</v>
      </c>
      <c r="M135" s="24">
        <v>8.5999999999999993E-2</v>
      </c>
    </row>
    <row r="136" spans="11:13" x14ac:dyDescent="0.3">
      <c r="K136" s="10" t="s">
        <v>92</v>
      </c>
      <c r="L136" s="23">
        <v>47603</v>
      </c>
      <c r="M136" s="24">
        <v>3.3000000000000002E-2</v>
      </c>
    </row>
    <row r="137" spans="11:13" x14ac:dyDescent="0.3">
      <c r="K137" s="10" t="s">
        <v>91</v>
      </c>
      <c r="L137" s="23">
        <v>30218</v>
      </c>
      <c r="M137" s="24">
        <v>2.1000000000000001E-2</v>
      </c>
    </row>
    <row r="156" spans="11:14" x14ac:dyDescent="0.3">
      <c r="K156" s="4" t="s">
        <v>101</v>
      </c>
      <c r="L156" s="4" t="s">
        <v>167</v>
      </c>
      <c r="M156" s="4" t="s">
        <v>169</v>
      </c>
      <c r="N156" s="4" t="s">
        <v>170</v>
      </c>
    </row>
    <row r="157" spans="11:14" x14ac:dyDescent="0.3">
      <c r="K157" s="5">
        <v>2020</v>
      </c>
      <c r="L157" s="6">
        <v>98803</v>
      </c>
      <c r="M157" s="6">
        <v>103930</v>
      </c>
      <c r="N157" s="26">
        <v>-5127</v>
      </c>
    </row>
    <row r="158" spans="11:14" x14ac:dyDescent="0.3">
      <c r="K158" s="5">
        <v>2021</v>
      </c>
      <c r="L158" s="6">
        <v>104639</v>
      </c>
      <c r="M158" s="6">
        <v>104304</v>
      </c>
      <c r="N158" s="27">
        <v>335</v>
      </c>
    </row>
    <row r="159" spans="11:14" x14ac:dyDescent="0.3">
      <c r="K159" s="5">
        <v>2022</v>
      </c>
      <c r="L159" s="6">
        <v>108133</v>
      </c>
      <c r="M159" s="6">
        <v>104679</v>
      </c>
      <c r="N159" s="26">
        <v>3454</v>
      </c>
    </row>
    <row r="160" spans="11:14" x14ac:dyDescent="0.3">
      <c r="K160" s="5">
        <v>2023</v>
      </c>
      <c r="L160" s="6">
        <v>106182</v>
      </c>
      <c r="M160" s="6">
        <v>105053</v>
      </c>
      <c r="N160" s="26">
        <v>1129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25EDE-DA71-4386-8942-6FB8A867D0BA}">
  <dimension ref="A1:C29"/>
  <sheetViews>
    <sheetView workbookViewId="0"/>
  </sheetViews>
  <sheetFormatPr defaultRowHeight="14.4" x14ac:dyDescent="0.3"/>
  <cols>
    <col min="1" max="1" width="7.5546875" bestFit="1" customWidth="1"/>
    <col min="2" max="2" width="6.88671875" bestFit="1" customWidth="1"/>
  </cols>
  <sheetData>
    <row r="1" spans="1:3" x14ac:dyDescent="0.3">
      <c r="A1" t="s">
        <v>100</v>
      </c>
      <c r="B1" t="s">
        <v>101</v>
      </c>
      <c r="C1" t="s">
        <v>102</v>
      </c>
    </row>
    <row r="2" spans="1:3" x14ac:dyDescent="0.3">
      <c r="A2" t="s">
        <v>85</v>
      </c>
      <c r="B2" t="s">
        <v>2</v>
      </c>
      <c r="C2">
        <v>61121</v>
      </c>
    </row>
    <row r="3" spans="1:3" x14ac:dyDescent="0.3">
      <c r="A3" t="s">
        <v>85</v>
      </c>
      <c r="B3" t="s">
        <v>3</v>
      </c>
      <c r="C3">
        <v>62332</v>
      </c>
    </row>
    <row r="4" spans="1:3" x14ac:dyDescent="0.3">
      <c r="A4" t="s">
        <v>85</v>
      </c>
      <c r="B4" t="s">
        <v>4</v>
      </c>
      <c r="C4">
        <v>61780</v>
      </c>
    </row>
    <row r="5" spans="1:3" x14ac:dyDescent="0.3">
      <c r="A5" t="s">
        <v>85</v>
      </c>
      <c r="B5" t="s">
        <v>5</v>
      </c>
      <c r="C5">
        <v>62400</v>
      </c>
    </row>
    <row r="6" spans="1:3" x14ac:dyDescent="0.3">
      <c r="A6" t="s">
        <v>85</v>
      </c>
      <c r="B6" t="s">
        <v>6</v>
      </c>
      <c r="C6">
        <v>62480</v>
      </c>
    </row>
    <row r="7" spans="1:3" x14ac:dyDescent="0.3">
      <c r="A7" t="s">
        <v>85</v>
      </c>
      <c r="B7" t="s">
        <v>7</v>
      </c>
      <c r="C7">
        <v>63172</v>
      </c>
    </row>
    <row r="8" spans="1:3" x14ac:dyDescent="0.3">
      <c r="A8" t="s">
        <v>85</v>
      </c>
      <c r="B8" t="s">
        <v>8</v>
      </c>
      <c r="C8">
        <v>65180</v>
      </c>
    </row>
    <row r="9" spans="1:3" x14ac:dyDescent="0.3">
      <c r="A9" t="s">
        <v>85</v>
      </c>
      <c r="B9" t="s">
        <v>9</v>
      </c>
      <c r="C9">
        <v>63376</v>
      </c>
    </row>
    <row r="10" spans="1:3" x14ac:dyDescent="0.3">
      <c r="A10" t="s">
        <v>85</v>
      </c>
      <c r="B10" t="s">
        <v>10</v>
      </c>
      <c r="C10">
        <v>63360</v>
      </c>
    </row>
    <row r="11" spans="1:3" x14ac:dyDescent="0.3">
      <c r="A11" t="s">
        <v>85</v>
      </c>
      <c r="B11" t="s">
        <v>11</v>
      </c>
      <c r="C11">
        <v>63743</v>
      </c>
    </row>
    <row r="12" spans="1:3" x14ac:dyDescent="0.3">
      <c r="A12" t="s">
        <v>85</v>
      </c>
      <c r="B12" t="s">
        <v>12</v>
      </c>
      <c r="C12">
        <v>61693</v>
      </c>
    </row>
    <row r="13" spans="1:3" x14ac:dyDescent="0.3">
      <c r="A13" t="s">
        <v>85</v>
      </c>
      <c r="B13" t="s">
        <v>13</v>
      </c>
      <c r="C13">
        <v>65165</v>
      </c>
    </row>
    <row r="14" spans="1:3" x14ac:dyDescent="0.3">
      <c r="A14" t="s">
        <v>85</v>
      </c>
      <c r="B14" t="s">
        <v>14</v>
      </c>
      <c r="C14">
        <v>68044</v>
      </c>
    </row>
    <row r="15" spans="1:3" x14ac:dyDescent="0.3">
      <c r="A15" t="s">
        <v>85</v>
      </c>
      <c r="B15" t="s">
        <v>15</v>
      </c>
      <c r="C15">
        <v>67002</v>
      </c>
    </row>
    <row r="16" spans="1:3" x14ac:dyDescent="0.3">
      <c r="A16" t="s">
        <v>86</v>
      </c>
      <c r="B16" t="s">
        <v>2</v>
      </c>
      <c r="C16">
        <v>38699</v>
      </c>
    </row>
    <row r="17" spans="1:3" x14ac:dyDescent="0.3">
      <c r="A17" t="s">
        <v>86</v>
      </c>
      <c r="B17" t="s">
        <v>3</v>
      </c>
      <c r="C17">
        <v>39712</v>
      </c>
    </row>
    <row r="18" spans="1:3" x14ac:dyDescent="0.3">
      <c r="A18" t="s">
        <v>86</v>
      </c>
      <c r="B18" t="s">
        <v>4</v>
      </c>
      <c r="C18">
        <v>38798</v>
      </c>
    </row>
    <row r="19" spans="1:3" x14ac:dyDescent="0.3">
      <c r="A19" t="s">
        <v>86</v>
      </c>
      <c r="B19" t="s">
        <v>5</v>
      </c>
      <c r="C19">
        <v>39065</v>
      </c>
    </row>
    <row r="20" spans="1:3" x14ac:dyDescent="0.3">
      <c r="A20" t="s">
        <v>86</v>
      </c>
      <c r="B20" t="s">
        <v>6</v>
      </c>
      <c r="C20">
        <v>38210</v>
      </c>
    </row>
    <row r="21" spans="1:3" x14ac:dyDescent="0.3">
      <c r="A21" t="s">
        <v>86</v>
      </c>
      <c r="B21" t="s">
        <v>7</v>
      </c>
      <c r="C21">
        <v>39047</v>
      </c>
    </row>
    <row r="22" spans="1:3" x14ac:dyDescent="0.3">
      <c r="A22" t="s">
        <v>86</v>
      </c>
      <c r="B22" t="s">
        <v>8</v>
      </c>
      <c r="C22">
        <v>40484</v>
      </c>
    </row>
    <row r="23" spans="1:3" x14ac:dyDescent="0.3">
      <c r="A23" t="s">
        <v>86</v>
      </c>
      <c r="B23" t="s">
        <v>9</v>
      </c>
      <c r="C23">
        <v>38960</v>
      </c>
    </row>
    <row r="24" spans="1:3" x14ac:dyDescent="0.3">
      <c r="A24" t="s">
        <v>86</v>
      </c>
      <c r="B24" t="s">
        <v>10</v>
      </c>
      <c r="C24">
        <v>38515</v>
      </c>
    </row>
    <row r="25" spans="1:3" x14ac:dyDescent="0.3">
      <c r="A25" t="s">
        <v>86</v>
      </c>
      <c r="B25" t="s">
        <v>11</v>
      </c>
      <c r="C25">
        <v>38416</v>
      </c>
    </row>
    <row r="26" spans="1:3" x14ac:dyDescent="0.3">
      <c r="A26" t="s">
        <v>86</v>
      </c>
      <c r="B26" t="s">
        <v>12</v>
      </c>
      <c r="C26">
        <v>37106</v>
      </c>
    </row>
    <row r="27" spans="1:3" x14ac:dyDescent="0.3">
      <c r="A27" t="s">
        <v>86</v>
      </c>
      <c r="B27" t="s">
        <v>13</v>
      </c>
      <c r="C27">
        <v>39468</v>
      </c>
    </row>
    <row r="28" spans="1:3" x14ac:dyDescent="0.3">
      <c r="A28" t="s">
        <v>86</v>
      </c>
      <c r="B28" t="s">
        <v>14</v>
      </c>
      <c r="C28">
        <v>40087</v>
      </c>
    </row>
    <row r="29" spans="1:3" x14ac:dyDescent="0.3">
      <c r="A29" t="s">
        <v>86</v>
      </c>
      <c r="B29" t="s">
        <v>15</v>
      </c>
      <c r="C29">
        <v>39175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EEFC8-7041-4574-A4E6-319BDE86655C}">
  <dimension ref="A1:L71"/>
  <sheetViews>
    <sheetView topLeftCell="A44" workbookViewId="0">
      <selection activeCell="A2" sqref="A2:C71"/>
    </sheetView>
  </sheetViews>
  <sheetFormatPr defaultRowHeight="14.4" x14ac:dyDescent="0.3"/>
  <cols>
    <col min="1" max="1" width="21.109375" bestFit="1" customWidth="1"/>
    <col min="2" max="2" width="10.6640625" bestFit="1" customWidth="1"/>
    <col min="3" max="3" width="8" bestFit="1" customWidth="1"/>
    <col min="11" max="11" width="19.6640625" bestFit="1" customWidth="1"/>
    <col min="12" max="12" width="14.33203125" bestFit="1" customWidth="1"/>
  </cols>
  <sheetData>
    <row r="1" spans="1:12" x14ac:dyDescent="0.3">
      <c r="A1" t="s">
        <v>99</v>
      </c>
      <c r="B1" t="s">
        <v>101</v>
      </c>
      <c r="C1" t="s">
        <v>102</v>
      </c>
    </row>
    <row r="2" spans="1:12" x14ac:dyDescent="0.3">
      <c r="A2" t="s">
        <v>125</v>
      </c>
      <c r="B2" t="s">
        <v>2</v>
      </c>
      <c r="C2">
        <v>4906</v>
      </c>
    </row>
    <row r="3" spans="1:12" x14ac:dyDescent="0.3">
      <c r="A3" t="s">
        <v>125</v>
      </c>
      <c r="B3" t="s">
        <v>3</v>
      </c>
      <c r="C3">
        <v>5056</v>
      </c>
    </row>
    <row r="4" spans="1:12" x14ac:dyDescent="0.3">
      <c r="A4" t="s">
        <v>125</v>
      </c>
      <c r="B4" t="s">
        <v>4</v>
      </c>
      <c r="C4">
        <v>5078</v>
      </c>
      <c r="K4" s="1" t="s">
        <v>103</v>
      </c>
      <c r="L4" t="s">
        <v>105</v>
      </c>
    </row>
    <row r="5" spans="1:12" x14ac:dyDescent="0.3">
      <c r="A5" t="s">
        <v>125</v>
      </c>
      <c r="B5" t="s">
        <v>5</v>
      </c>
      <c r="C5">
        <v>5146</v>
      </c>
      <c r="K5" s="2" t="s">
        <v>125</v>
      </c>
      <c r="L5">
        <v>80034</v>
      </c>
    </row>
    <row r="6" spans="1:12" x14ac:dyDescent="0.3">
      <c r="A6" t="s">
        <v>125</v>
      </c>
      <c r="B6" t="s">
        <v>6</v>
      </c>
      <c r="C6">
        <v>5450</v>
      </c>
      <c r="K6" s="2" t="s">
        <v>126</v>
      </c>
      <c r="L6">
        <v>358921</v>
      </c>
    </row>
    <row r="7" spans="1:12" x14ac:dyDescent="0.3">
      <c r="A7" t="s">
        <v>125</v>
      </c>
      <c r="B7" t="s">
        <v>7</v>
      </c>
      <c r="C7">
        <v>5603</v>
      </c>
      <c r="K7" s="2" t="s">
        <v>127</v>
      </c>
      <c r="L7">
        <v>698569</v>
      </c>
    </row>
    <row r="8" spans="1:12" x14ac:dyDescent="0.3">
      <c r="A8" t="s">
        <v>125</v>
      </c>
      <c r="B8" t="s">
        <v>8</v>
      </c>
      <c r="C8">
        <v>5690</v>
      </c>
      <c r="K8" s="2" t="s">
        <v>128</v>
      </c>
      <c r="L8">
        <v>194465</v>
      </c>
    </row>
    <row r="9" spans="1:12" x14ac:dyDescent="0.3">
      <c r="A9" t="s">
        <v>125</v>
      </c>
      <c r="B9" t="s">
        <v>9</v>
      </c>
      <c r="C9">
        <v>5828</v>
      </c>
      <c r="K9" s="2" t="s">
        <v>129</v>
      </c>
      <c r="L9">
        <v>104702</v>
      </c>
    </row>
    <row r="10" spans="1:12" x14ac:dyDescent="0.3">
      <c r="A10" t="s">
        <v>125</v>
      </c>
      <c r="B10" t="s">
        <v>10</v>
      </c>
      <c r="C10">
        <v>5670</v>
      </c>
      <c r="K10" s="2" t="s">
        <v>104</v>
      </c>
      <c r="L10">
        <v>1436691</v>
      </c>
    </row>
    <row r="11" spans="1:12" x14ac:dyDescent="0.3">
      <c r="A11" t="s">
        <v>125</v>
      </c>
      <c r="B11" t="s">
        <v>11</v>
      </c>
      <c r="C11">
        <v>6001</v>
      </c>
    </row>
    <row r="12" spans="1:12" x14ac:dyDescent="0.3">
      <c r="A12" t="s">
        <v>125</v>
      </c>
      <c r="B12" t="s">
        <v>12</v>
      </c>
      <c r="C12">
        <v>5984</v>
      </c>
    </row>
    <row r="13" spans="1:12" x14ac:dyDescent="0.3">
      <c r="A13" t="s">
        <v>125</v>
      </c>
      <c r="B13" t="s">
        <v>13</v>
      </c>
      <c r="C13">
        <v>6373</v>
      </c>
    </row>
    <row r="14" spans="1:12" x14ac:dyDescent="0.3">
      <c r="A14" t="s">
        <v>125</v>
      </c>
      <c r="B14" t="s">
        <v>14</v>
      </c>
      <c r="C14">
        <v>6520</v>
      </c>
    </row>
    <row r="15" spans="1:12" x14ac:dyDescent="0.3">
      <c r="A15" t="s">
        <v>125</v>
      </c>
      <c r="B15" t="s">
        <v>15</v>
      </c>
      <c r="C15">
        <v>6729</v>
      </c>
    </row>
    <row r="16" spans="1:12" x14ac:dyDescent="0.3">
      <c r="A16" t="s">
        <v>126</v>
      </c>
      <c r="B16" t="s">
        <v>2</v>
      </c>
      <c r="C16">
        <v>23649</v>
      </c>
    </row>
    <row r="17" spans="1:3" x14ac:dyDescent="0.3">
      <c r="A17" t="s">
        <v>126</v>
      </c>
      <c r="B17" t="s">
        <v>3</v>
      </c>
      <c r="C17">
        <v>24743</v>
      </c>
    </row>
    <row r="18" spans="1:3" x14ac:dyDescent="0.3">
      <c r="A18" t="s">
        <v>126</v>
      </c>
      <c r="B18" t="s">
        <v>4</v>
      </c>
      <c r="C18">
        <v>24736</v>
      </c>
    </row>
    <row r="19" spans="1:3" x14ac:dyDescent="0.3">
      <c r="A19" t="s">
        <v>126</v>
      </c>
      <c r="B19" t="s">
        <v>5</v>
      </c>
      <c r="C19">
        <v>24586</v>
      </c>
    </row>
    <row r="20" spans="1:3" x14ac:dyDescent="0.3">
      <c r="A20" t="s">
        <v>126</v>
      </c>
      <c r="B20" t="s">
        <v>6</v>
      </c>
      <c r="C20">
        <v>24788</v>
      </c>
    </row>
    <row r="21" spans="1:3" x14ac:dyDescent="0.3">
      <c r="A21" t="s">
        <v>126</v>
      </c>
      <c r="B21" t="s">
        <v>7</v>
      </c>
      <c r="C21">
        <v>25213</v>
      </c>
    </row>
    <row r="22" spans="1:3" x14ac:dyDescent="0.3">
      <c r="A22" t="s">
        <v>126</v>
      </c>
      <c r="B22" t="s">
        <v>8</v>
      </c>
      <c r="C22">
        <v>26021</v>
      </c>
    </row>
    <row r="23" spans="1:3" x14ac:dyDescent="0.3">
      <c r="A23" t="s">
        <v>126</v>
      </c>
      <c r="B23" t="s">
        <v>9</v>
      </c>
      <c r="C23">
        <v>25852</v>
      </c>
    </row>
    <row r="24" spans="1:3" x14ac:dyDescent="0.3">
      <c r="A24" t="s">
        <v>126</v>
      </c>
      <c r="B24" t="s">
        <v>10</v>
      </c>
      <c r="C24">
        <v>25789</v>
      </c>
    </row>
    <row r="25" spans="1:3" x14ac:dyDescent="0.3">
      <c r="A25" t="s">
        <v>126</v>
      </c>
      <c r="B25" t="s">
        <v>11</v>
      </c>
      <c r="C25">
        <v>26111</v>
      </c>
    </row>
    <row r="26" spans="1:3" x14ac:dyDescent="0.3">
      <c r="A26" t="s">
        <v>126</v>
      </c>
      <c r="B26" t="s">
        <v>12</v>
      </c>
      <c r="C26">
        <v>25369</v>
      </c>
    </row>
    <row r="27" spans="1:3" x14ac:dyDescent="0.3">
      <c r="A27" t="s">
        <v>126</v>
      </c>
      <c r="B27" t="s">
        <v>13</v>
      </c>
      <c r="C27">
        <v>26347</v>
      </c>
    </row>
    <row r="28" spans="1:3" x14ac:dyDescent="0.3">
      <c r="A28" t="s">
        <v>126</v>
      </c>
      <c r="B28" t="s">
        <v>14</v>
      </c>
      <c r="C28">
        <v>27583</v>
      </c>
    </row>
    <row r="29" spans="1:3" x14ac:dyDescent="0.3">
      <c r="A29" t="s">
        <v>126</v>
      </c>
      <c r="B29" t="s">
        <v>15</v>
      </c>
      <c r="C29">
        <v>28134</v>
      </c>
    </row>
    <row r="30" spans="1:3" x14ac:dyDescent="0.3">
      <c r="A30" t="s">
        <v>127</v>
      </c>
      <c r="B30" t="s">
        <v>2</v>
      </c>
      <c r="C30">
        <v>49715</v>
      </c>
    </row>
    <row r="31" spans="1:3" x14ac:dyDescent="0.3">
      <c r="A31" t="s">
        <v>127</v>
      </c>
      <c r="B31" t="s">
        <v>3</v>
      </c>
      <c r="C31">
        <v>50354</v>
      </c>
    </row>
    <row r="32" spans="1:3" x14ac:dyDescent="0.3">
      <c r="A32" t="s">
        <v>127</v>
      </c>
      <c r="B32" t="s">
        <v>4</v>
      </c>
      <c r="C32">
        <v>49433</v>
      </c>
    </row>
    <row r="33" spans="1:3" x14ac:dyDescent="0.3">
      <c r="A33" t="s">
        <v>127</v>
      </c>
      <c r="B33" t="s">
        <v>5</v>
      </c>
      <c r="C33">
        <v>50067</v>
      </c>
    </row>
    <row r="34" spans="1:3" x14ac:dyDescent="0.3">
      <c r="A34" t="s">
        <v>127</v>
      </c>
      <c r="B34" t="s">
        <v>6</v>
      </c>
      <c r="C34">
        <v>49433</v>
      </c>
    </row>
    <row r="35" spans="1:3" x14ac:dyDescent="0.3">
      <c r="A35" t="s">
        <v>127</v>
      </c>
      <c r="B35" t="s">
        <v>7</v>
      </c>
      <c r="C35">
        <v>50305</v>
      </c>
    </row>
    <row r="36" spans="1:3" x14ac:dyDescent="0.3">
      <c r="A36" t="s">
        <v>127</v>
      </c>
      <c r="B36" t="s">
        <v>8</v>
      </c>
      <c r="C36">
        <v>52418</v>
      </c>
    </row>
    <row r="37" spans="1:3" x14ac:dyDescent="0.3">
      <c r="A37" t="s">
        <v>127</v>
      </c>
      <c r="B37" t="s">
        <v>9</v>
      </c>
      <c r="C37">
        <v>49715</v>
      </c>
    </row>
    <row r="38" spans="1:3" x14ac:dyDescent="0.3">
      <c r="A38" t="s">
        <v>127</v>
      </c>
      <c r="B38" t="s">
        <v>10</v>
      </c>
      <c r="C38">
        <v>49601</v>
      </c>
    </row>
    <row r="39" spans="1:3" x14ac:dyDescent="0.3">
      <c r="A39" t="s">
        <v>127</v>
      </c>
      <c r="B39" t="s">
        <v>11</v>
      </c>
      <c r="C39">
        <v>49707</v>
      </c>
    </row>
    <row r="40" spans="1:3" x14ac:dyDescent="0.3">
      <c r="A40" t="s">
        <v>127</v>
      </c>
      <c r="B40" t="s">
        <v>12</v>
      </c>
      <c r="C40">
        <v>47104</v>
      </c>
    </row>
    <row r="41" spans="1:3" x14ac:dyDescent="0.3">
      <c r="A41" t="s">
        <v>127</v>
      </c>
      <c r="B41" t="s">
        <v>13</v>
      </c>
      <c r="C41">
        <v>49791</v>
      </c>
    </row>
    <row r="42" spans="1:3" x14ac:dyDescent="0.3">
      <c r="A42" t="s">
        <v>127</v>
      </c>
      <c r="B42" t="s">
        <v>14</v>
      </c>
      <c r="C42">
        <v>51219</v>
      </c>
    </row>
    <row r="43" spans="1:3" x14ac:dyDescent="0.3">
      <c r="A43" t="s">
        <v>127</v>
      </c>
      <c r="B43" t="s">
        <v>15</v>
      </c>
      <c r="C43">
        <v>49707</v>
      </c>
    </row>
    <row r="44" spans="1:3" x14ac:dyDescent="0.3">
      <c r="A44" t="s">
        <v>128</v>
      </c>
      <c r="B44" t="s">
        <v>2</v>
      </c>
      <c r="C44">
        <v>14378</v>
      </c>
    </row>
    <row r="45" spans="1:3" x14ac:dyDescent="0.3">
      <c r="A45" t="s">
        <v>128</v>
      </c>
      <c r="B45" t="s">
        <v>3</v>
      </c>
      <c r="C45">
        <v>14670</v>
      </c>
    </row>
    <row r="46" spans="1:3" x14ac:dyDescent="0.3">
      <c r="A46" t="s">
        <v>128</v>
      </c>
      <c r="B46" t="s">
        <v>4</v>
      </c>
      <c r="C46">
        <v>13993</v>
      </c>
    </row>
    <row r="47" spans="1:3" x14ac:dyDescent="0.3">
      <c r="A47" t="s">
        <v>128</v>
      </c>
      <c r="B47" t="s">
        <v>5</v>
      </c>
      <c r="C47">
        <v>14195</v>
      </c>
    </row>
    <row r="48" spans="1:3" x14ac:dyDescent="0.3">
      <c r="A48" t="s">
        <v>128</v>
      </c>
      <c r="B48" t="s">
        <v>6</v>
      </c>
      <c r="C48">
        <v>13772</v>
      </c>
    </row>
    <row r="49" spans="1:3" x14ac:dyDescent="0.3">
      <c r="A49" t="s">
        <v>128</v>
      </c>
      <c r="B49" t="s">
        <v>7</v>
      </c>
      <c r="C49">
        <v>13872</v>
      </c>
    </row>
    <row r="50" spans="1:3" x14ac:dyDescent="0.3">
      <c r="A50" t="s">
        <v>128</v>
      </c>
      <c r="B50" t="s">
        <v>8</v>
      </c>
      <c r="C50">
        <v>14286</v>
      </c>
    </row>
    <row r="51" spans="1:3" x14ac:dyDescent="0.3">
      <c r="A51" t="s">
        <v>128</v>
      </c>
      <c r="B51" t="s">
        <v>9</v>
      </c>
      <c r="C51">
        <v>13609</v>
      </c>
    </row>
    <row r="52" spans="1:3" x14ac:dyDescent="0.3">
      <c r="A52" t="s">
        <v>128</v>
      </c>
      <c r="B52" t="s">
        <v>10</v>
      </c>
      <c r="C52">
        <v>13392</v>
      </c>
    </row>
    <row r="53" spans="1:3" x14ac:dyDescent="0.3">
      <c r="A53" t="s">
        <v>128</v>
      </c>
      <c r="B53" t="s">
        <v>11</v>
      </c>
      <c r="C53">
        <v>13125</v>
      </c>
    </row>
    <row r="54" spans="1:3" x14ac:dyDescent="0.3">
      <c r="A54" t="s">
        <v>128</v>
      </c>
      <c r="B54" t="s">
        <v>12</v>
      </c>
      <c r="C54">
        <v>12923</v>
      </c>
    </row>
    <row r="55" spans="1:3" x14ac:dyDescent="0.3">
      <c r="A55" t="s">
        <v>128</v>
      </c>
      <c r="B55" t="s">
        <v>13</v>
      </c>
      <c r="C55">
        <v>13926</v>
      </c>
    </row>
    <row r="56" spans="1:3" x14ac:dyDescent="0.3">
      <c r="A56" t="s">
        <v>128</v>
      </c>
      <c r="B56" t="s">
        <v>14</v>
      </c>
      <c r="C56">
        <v>14612</v>
      </c>
    </row>
    <row r="57" spans="1:3" x14ac:dyDescent="0.3">
      <c r="A57" t="s">
        <v>128</v>
      </c>
      <c r="B57" t="s">
        <v>15</v>
      </c>
      <c r="C57">
        <v>13712</v>
      </c>
    </row>
    <row r="58" spans="1:3" x14ac:dyDescent="0.3">
      <c r="A58" t="s">
        <v>129</v>
      </c>
      <c r="B58" t="s">
        <v>2</v>
      </c>
      <c r="C58">
        <v>7177</v>
      </c>
    </row>
    <row r="59" spans="1:3" x14ac:dyDescent="0.3">
      <c r="A59" t="s">
        <v>129</v>
      </c>
      <c r="B59" t="s">
        <v>3</v>
      </c>
      <c r="C59">
        <v>7233</v>
      </c>
    </row>
    <row r="60" spans="1:3" x14ac:dyDescent="0.3">
      <c r="A60" t="s">
        <v>129</v>
      </c>
      <c r="B60" t="s">
        <v>4</v>
      </c>
      <c r="C60">
        <v>7345</v>
      </c>
    </row>
    <row r="61" spans="1:3" x14ac:dyDescent="0.3">
      <c r="A61" t="s">
        <v>129</v>
      </c>
      <c r="B61" t="s">
        <v>5</v>
      </c>
      <c r="C61">
        <v>7479</v>
      </c>
    </row>
    <row r="62" spans="1:3" x14ac:dyDescent="0.3">
      <c r="A62" t="s">
        <v>129</v>
      </c>
      <c r="B62" t="s">
        <v>6</v>
      </c>
      <c r="C62">
        <v>7261</v>
      </c>
    </row>
    <row r="63" spans="1:3" x14ac:dyDescent="0.3">
      <c r="A63" t="s">
        <v>129</v>
      </c>
      <c r="B63" t="s">
        <v>7</v>
      </c>
      <c r="C63">
        <v>7234</v>
      </c>
    </row>
    <row r="64" spans="1:3" x14ac:dyDescent="0.3">
      <c r="A64" t="s">
        <v>129</v>
      </c>
      <c r="B64" t="s">
        <v>8</v>
      </c>
      <c r="C64">
        <v>7257</v>
      </c>
    </row>
    <row r="65" spans="1:3" x14ac:dyDescent="0.3">
      <c r="A65" t="s">
        <v>129</v>
      </c>
      <c r="B65" t="s">
        <v>9</v>
      </c>
      <c r="C65">
        <v>7338</v>
      </c>
    </row>
    <row r="66" spans="1:3" x14ac:dyDescent="0.3">
      <c r="A66" t="s">
        <v>129</v>
      </c>
      <c r="B66" t="s">
        <v>10</v>
      </c>
      <c r="C66">
        <v>7434</v>
      </c>
    </row>
    <row r="67" spans="1:3" x14ac:dyDescent="0.3">
      <c r="A67" t="s">
        <v>129</v>
      </c>
      <c r="B67" t="s">
        <v>11</v>
      </c>
      <c r="C67">
        <v>7220</v>
      </c>
    </row>
    <row r="68" spans="1:3" x14ac:dyDescent="0.3">
      <c r="A68" t="s">
        <v>129</v>
      </c>
      <c r="B68" t="s">
        <v>12</v>
      </c>
      <c r="C68">
        <v>7423</v>
      </c>
    </row>
    <row r="69" spans="1:3" x14ac:dyDescent="0.3">
      <c r="A69" t="s">
        <v>129</v>
      </c>
      <c r="B69" t="s">
        <v>13</v>
      </c>
      <c r="C69">
        <v>8202</v>
      </c>
    </row>
    <row r="70" spans="1:3" x14ac:dyDescent="0.3">
      <c r="A70" t="s">
        <v>129</v>
      </c>
      <c r="B70" t="s">
        <v>14</v>
      </c>
      <c r="C70">
        <v>8199</v>
      </c>
    </row>
    <row r="71" spans="1:3" x14ac:dyDescent="0.3">
      <c r="A71" t="s">
        <v>129</v>
      </c>
      <c r="B71" t="s">
        <v>15</v>
      </c>
      <c r="C71">
        <v>7900</v>
      </c>
    </row>
  </sheetData>
  <pageMargins left="0.511811024" right="0.511811024" top="0.78740157499999996" bottom="0.78740157499999996" header="0.31496062000000002" footer="0.31496062000000002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D9093-6081-4D02-A093-37F95F93259F}">
  <dimension ref="B2:P72"/>
  <sheetViews>
    <sheetView topLeftCell="E1" workbookViewId="0">
      <selection activeCell="J6" sqref="J6:P20"/>
    </sheetView>
  </sheetViews>
  <sheetFormatPr defaultRowHeight="14.4" x14ac:dyDescent="0.3"/>
  <cols>
    <col min="2" max="2" width="18.33203125" bestFit="1" customWidth="1"/>
    <col min="5" max="5" width="11.44140625" customWidth="1"/>
    <col min="6" max="6" width="11.6640625" customWidth="1"/>
    <col min="10" max="10" width="17.88671875" bestFit="1" customWidth="1"/>
    <col min="11" max="11" width="18.5546875" bestFit="1" customWidth="1"/>
    <col min="12" max="12" width="14.88671875" bestFit="1" customWidth="1"/>
    <col min="13" max="13" width="11.88671875" bestFit="1" customWidth="1"/>
    <col min="14" max="14" width="13.88671875" bestFit="1" customWidth="1"/>
    <col min="15" max="15" width="9.6640625" bestFit="1" customWidth="1"/>
    <col min="16" max="16" width="10" bestFit="1" customWidth="1"/>
  </cols>
  <sheetData>
    <row r="2" spans="2:16" x14ac:dyDescent="0.3">
      <c r="B2" t="s">
        <v>122</v>
      </c>
      <c r="C2" t="s">
        <v>101</v>
      </c>
      <c r="D2" t="s">
        <v>102</v>
      </c>
      <c r="E2" t="s">
        <v>124</v>
      </c>
      <c r="F2" t="s">
        <v>123</v>
      </c>
    </row>
    <row r="3" spans="2:16" x14ac:dyDescent="0.3">
      <c r="B3" s="13" t="s">
        <v>125</v>
      </c>
      <c r="C3" s="14" t="s">
        <v>2</v>
      </c>
      <c r="D3" s="15">
        <v>4906</v>
      </c>
      <c r="E3">
        <v>10319281</v>
      </c>
      <c r="F3" s="19">
        <f>(D3/E3)*100000</f>
        <v>47.542071971874783</v>
      </c>
    </row>
    <row r="4" spans="2:16" x14ac:dyDescent="0.3">
      <c r="B4" s="16" t="s">
        <v>125</v>
      </c>
      <c r="C4" s="17" t="s">
        <v>3</v>
      </c>
      <c r="D4" s="18">
        <v>5056</v>
      </c>
      <c r="E4">
        <v>10567702</v>
      </c>
      <c r="F4" s="19">
        <f t="shared" ref="F4:F67" si="0">(D4/E4)*100000</f>
        <v>47.843892645723734</v>
      </c>
    </row>
    <row r="5" spans="2:16" x14ac:dyDescent="0.3">
      <c r="B5" s="13" t="s">
        <v>125</v>
      </c>
      <c r="C5" s="14" t="s">
        <v>4</v>
      </c>
      <c r="D5" s="15">
        <v>5078</v>
      </c>
      <c r="E5">
        <v>10819204</v>
      </c>
      <c r="F5" s="19">
        <f t="shared" si="0"/>
        <v>46.935061026670724</v>
      </c>
      <c r="J5" s="1" t="s">
        <v>131</v>
      </c>
      <c r="K5" s="1" t="s">
        <v>130</v>
      </c>
    </row>
    <row r="6" spans="2:16" x14ac:dyDescent="0.3">
      <c r="B6" s="16" t="s">
        <v>125</v>
      </c>
      <c r="C6" s="17" t="s">
        <v>5</v>
      </c>
      <c r="D6" s="18">
        <v>5146</v>
      </c>
      <c r="E6">
        <v>11070513</v>
      </c>
      <c r="F6" s="19">
        <f t="shared" si="0"/>
        <v>46.483844063956205</v>
      </c>
      <c r="J6" s="1" t="s">
        <v>103</v>
      </c>
      <c r="K6" t="s">
        <v>129</v>
      </c>
      <c r="L6" t="s">
        <v>126</v>
      </c>
      <c r="M6" t="s">
        <v>125</v>
      </c>
      <c r="N6" t="s">
        <v>127</v>
      </c>
      <c r="O6" t="s">
        <v>128</v>
      </c>
      <c r="P6" t="s">
        <v>104</v>
      </c>
    </row>
    <row r="7" spans="2:16" x14ac:dyDescent="0.3">
      <c r="B7" s="13" t="s">
        <v>125</v>
      </c>
      <c r="C7" s="14" t="s">
        <v>6</v>
      </c>
      <c r="D7" s="15">
        <v>5450</v>
      </c>
      <c r="E7">
        <v>11316733</v>
      </c>
      <c r="F7" s="19">
        <f t="shared" si="0"/>
        <v>48.158775151803972</v>
      </c>
      <c r="J7" s="2" t="s">
        <v>2</v>
      </c>
      <c r="K7" s="19">
        <v>72.33689702832126</v>
      </c>
      <c r="L7" s="19">
        <v>66.341675027286797</v>
      </c>
      <c r="M7" s="19">
        <v>47.542071971874783</v>
      </c>
      <c r="N7" s="19">
        <v>86.967849779872409</v>
      </c>
      <c r="O7" s="19">
        <v>73.939119173116069</v>
      </c>
      <c r="P7" s="19">
        <v>347.12761298047133</v>
      </c>
    </row>
    <row r="8" spans="2:16" x14ac:dyDescent="0.3">
      <c r="B8" s="16" t="s">
        <v>125</v>
      </c>
      <c r="C8" s="17" t="s">
        <v>7</v>
      </c>
      <c r="D8" s="18">
        <v>5603</v>
      </c>
      <c r="E8">
        <v>11555104</v>
      </c>
      <c r="F8" s="19">
        <f t="shared" si="0"/>
        <v>48.489394816351286</v>
      </c>
      <c r="J8" s="2" t="s">
        <v>3</v>
      </c>
      <c r="K8" s="19">
        <v>71.479225664451434</v>
      </c>
      <c r="L8" s="19">
        <v>68.493004692032414</v>
      </c>
      <c r="M8" s="19">
        <v>47.843892645723734</v>
      </c>
      <c r="N8" s="19">
        <v>87.055292575905838</v>
      </c>
      <c r="O8" s="19">
        <v>74.562710288952616</v>
      </c>
      <c r="P8" s="19">
        <v>349.43412586706609</v>
      </c>
    </row>
    <row r="9" spans="2:16" x14ac:dyDescent="0.3">
      <c r="B9" s="13" t="s">
        <v>125</v>
      </c>
      <c r="C9" s="14" t="s">
        <v>8</v>
      </c>
      <c r="D9" s="15">
        <v>5690</v>
      </c>
      <c r="E9">
        <v>11789579</v>
      </c>
      <c r="F9" s="19">
        <f t="shared" si="0"/>
        <v>48.262961722382116</v>
      </c>
      <c r="J9" s="2" t="s">
        <v>4</v>
      </c>
      <c r="K9" s="19">
        <v>71.221680170342481</v>
      </c>
      <c r="L9" s="19">
        <v>67.584058697585576</v>
      </c>
      <c r="M9" s="19">
        <v>46.935061026670724</v>
      </c>
      <c r="N9" s="19">
        <v>84.497560018215367</v>
      </c>
      <c r="O9" s="19">
        <v>70.340360784271141</v>
      </c>
      <c r="P9" s="19">
        <v>340.57872069708526</v>
      </c>
    </row>
    <row r="10" spans="2:16" x14ac:dyDescent="0.3">
      <c r="B10" s="16" t="s">
        <v>125</v>
      </c>
      <c r="C10" s="17" t="s">
        <v>9</v>
      </c>
      <c r="D10" s="18">
        <v>5828</v>
      </c>
      <c r="E10">
        <v>12018723</v>
      </c>
      <c r="F10" s="19">
        <f t="shared" si="0"/>
        <v>48.49100857054448</v>
      </c>
      <c r="J10" s="2" t="s">
        <v>5</v>
      </c>
      <c r="K10" s="19">
        <v>71.217061394934547</v>
      </c>
      <c r="L10" s="19">
        <v>66.330356524991842</v>
      </c>
      <c r="M10" s="19">
        <v>46.483844063956205</v>
      </c>
      <c r="N10" s="19">
        <v>84.666270023052007</v>
      </c>
      <c r="O10" s="19">
        <v>70.629705495772271</v>
      </c>
      <c r="P10" s="19">
        <v>339.32723750270685</v>
      </c>
    </row>
    <row r="11" spans="2:16" x14ac:dyDescent="0.3">
      <c r="B11" s="13" t="s">
        <v>125</v>
      </c>
      <c r="C11" s="14" t="s">
        <v>10</v>
      </c>
      <c r="D11" s="15">
        <v>5670</v>
      </c>
      <c r="E11">
        <v>12247542</v>
      </c>
      <c r="F11" s="19">
        <f t="shared" si="0"/>
        <v>46.295003519889953</v>
      </c>
      <c r="J11" s="2" t="s">
        <v>6</v>
      </c>
      <c r="K11" s="19">
        <v>67.966145165427037</v>
      </c>
      <c r="L11" s="19">
        <v>66.083626445905907</v>
      </c>
      <c r="M11" s="19">
        <v>48.158775151803972</v>
      </c>
      <c r="N11" s="19">
        <v>82.777601904422369</v>
      </c>
      <c r="O11" s="19">
        <v>67.899011707501387</v>
      </c>
      <c r="P11" s="19">
        <v>332.88516037506065</v>
      </c>
    </row>
    <row r="12" spans="2:16" x14ac:dyDescent="0.3">
      <c r="B12" s="16" t="s">
        <v>125</v>
      </c>
      <c r="C12" s="17" t="s">
        <v>11</v>
      </c>
      <c r="D12" s="18">
        <v>6001</v>
      </c>
      <c r="E12">
        <v>12467735</v>
      </c>
      <c r="F12" s="19">
        <f t="shared" si="0"/>
        <v>48.132238935139377</v>
      </c>
      <c r="J12" s="2" t="s">
        <v>7</v>
      </c>
      <c r="K12" s="19">
        <v>66.635311040625425</v>
      </c>
      <c r="L12" s="19">
        <v>66.481751084972529</v>
      </c>
      <c r="M12" s="19">
        <v>48.489394816351286</v>
      </c>
      <c r="N12" s="19">
        <v>83.5084484719589</v>
      </c>
      <c r="O12" s="19">
        <v>67.847164284924048</v>
      </c>
      <c r="P12" s="19">
        <v>332.96206969883212</v>
      </c>
    </row>
    <row r="13" spans="2:16" x14ac:dyDescent="0.3">
      <c r="B13" s="13" t="s">
        <v>125</v>
      </c>
      <c r="C13" s="14" t="s">
        <v>12</v>
      </c>
      <c r="D13" s="15">
        <v>5984</v>
      </c>
      <c r="E13">
        <v>12679050</v>
      </c>
      <c r="F13" s="19">
        <f t="shared" si="0"/>
        <v>47.195964997377565</v>
      </c>
      <c r="J13" s="2" t="s">
        <v>8</v>
      </c>
      <c r="K13" s="19">
        <v>65.87299555745328</v>
      </c>
      <c r="L13" s="19">
        <v>67.932069079612234</v>
      </c>
      <c r="M13" s="19">
        <v>48.262961722382116</v>
      </c>
      <c r="N13" s="19">
        <v>86.337283785371227</v>
      </c>
      <c r="O13" s="19">
        <v>69.372885816872284</v>
      </c>
      <c r="P13" s="19">
        <v>337.7781959616911</v>
      </c>
    </row>
    <row r="14" spans="2:16" x14ac:dyDescent="0.3">
      <c r="B14" s="16" t="s">
        <v>125</v>
      </c>
      <c r="C14" s="17" t="s">
        <v>13</v>
      </c>
      <c r="D14" s="18">
        <v>6373</v>
      </c>
      <c r="E14">
        <v>12885637</v>
      </c>
      <c r="F14" s="19">
        <f t="shared" si="0"/>
        <v>49.458168036240664</v>
      </c>
      <c r="J14" s="2" t="s">
        <v>9</v>
      </c>
      <c r="K14" s="19">
        <v>65.700763375181978</v>
      </c>
      <c r="L14" s="19">
        <v>66.898151730245701</v>
      </c>
      <c r="M14" s="19">
        <v>48.49100857054448</v>
      </c>
      <c r="N14" s="19">
        <v>81.366162000609549</v>
      </c>
      <c r="O14" s="19">
        <v>65.725228075089717</v>
      </c>
      <c r="P14" s="19">
        <v>328.18131375167144</v>
      </c>
    </row>
    <row r="15" spans="2:16" x14ac:dyDescent="0.3">
      <c r="B15" s="13" t="s">
        <v>125</v>
      </c>
      <c r="C15" s="14" t="s">
        <v>14</v>
      </c>
      <c r="D15" s="15">
        <v>6520</v>
      </c>
      <c r="E15">
        <v>13080817</v>
      </c>
      <c r="F15" s="19">
        <f t="shared" si="0"/>
        <v>49.843981457733108</v>
      </c>
      <c r="J15" s="2" t="s">
        <v>10</v>
      </c>
      <c r="K15" s="19">
        <v>65.697680378752338</v>
      </c>
      <c r="L15" s="19">
        <v>66.179665692734872</v>
      </c>
      <c r="M15" s="19">
        <v>46.295003519889953</v>
      </c>
      <c r="N15" s="19">
        <v>80.739455627474626</v>
      </c>
      <c r="O15" s="19">
        <v>64.399860813204057</v>
      </c>
      <c r="P15" s="19">
        <v>323.31166603205583</v>
      </c>
    </row>
    <row r="16" spans="2:16" x14ac:dyDescent="0.3">
      <c r="B16" s="16" t="s">
        <v>125</v>
      </c>
      <c r="C16" s="17" t="s">
        <v>15</v>
      </c>
      <c r="D16" s="18">
        <v>6729</v>
      </c>
      <c r="E16">
        <v>13266357</v>
      </c>
      <c r="F16" s="19">
        <f t="shared" si="0"/>
        <v>50.722289472535671</v>
      </c>
      <c r="J16" s="2" t="s">
        <v>11</v>
      </c>
      <c r="K16" s="19">
        <v>63.022455721487532</v>
      </c>
      <c r="L16" s="19">
        <v>66.490936315938157</v>
      </c>
      <c r="M16" s="19">
        <v>48.132238935139377</v>
      </c>
      <c r="N16" s="19">
        <v>80.524647391402866</v>
      </c>
      <c r="O16" s="19">
        <v>62.886569733348004</v>
      </c>
      <c r="P16" s="19">
        <v>321.05684809731594</v>
      </c>
    </row>
    <row r="17" spans="2:16" x14ac:dyDescent="0.3">
      <c r="B17" s="13" t="s">
        <v>126</v>
      </c>
      <c r="C17" s="14" t="s">
        <v>2</v>
      </c>
      <c r="D17" s="15">
        <v>23649</v>
      </c>
      <c r="E17">
        <v>35647276</v>
      </c>
      <c r="F17" s="19">
        <f t="shared" si="0"/>
        <v>66.341675027286797</v>
      </c>
      <c r="J17" s="2" t="s">
        <v>12</v>
      </c>
      <c r="K17" s="19">
        <v>64.031393411279169</v>
      </c>
      <c r="L17" s="19">
        <v>64.134015595823186</v>
      </c>
      <c r="M17" s="19">
        <v>47.195964997377565</v>
      </c>
      <c r="N17" s="19">
        <v>75.98974203011926</v>
      </c>
      <c r="O17" s="19">
        <v>61.711781578018446</v>
      </c>
      <c r="P17" s="19">
        <v>313.06289761261763</v>
      </c>
    </row>
    <row r="18" spans="2:16" x14ac:dyDescent="0.3">
      <c r="B18" s="16" t="s">
        <v>126</v>
      </c>
      <c r="C18" s="17" t="s">
        <v>3</v>
      </c>
      <c r="D18" s="18">
        <v>24743</v>
      </c>
      <c r="E18">
        <v>36124857</v>
      </c>
      <c r="F18" s="19">
        <f t="shared" si="0"/>
        <v>68.493004692032414</v>
      </c>
      <c r="J18" s="2" t="s">
        <v>13</v>
      </c>
      <c r="K18" s="19">
        <v>69.971657298580453</v>
      </c>
      <c r="L18" s="19">
        <v>66.160750912343872</v>
      </c>
      <c r="M18" s="19">
        <v>49.458168036240664</v>
      </c>
      <c r="N18" s="19">
        <v>80.056347989578512</v>
      </c>
      <c r="O18" s="19">
        <v>66.331446607115069</v>
      </c>
      <c r="P18" s="19">
        <v>331.97837084385861</v>
      </c>
    </row>
    <row r="19" spans="2:16" x14ac:dyDescent="0.3">
      <c r="B19" s="13" t="s">
        <v>126</v>
      </c>
      <c r="C19" s="14" t="s">
        <v>4</v>
      </c>
      <c r="D19" s="15">
        <v>24736</v>
      </c>
      <c r="E19">
        <v>36600347</v>
      </c>
      <c r="F19" s="19">
        <f t="shared" si="0"/>
        <v>67.584058697585576</v>
      </c>
      <c r="J19" s="2" t="s">
        <v>14</v>
      </c>
      <c r="K19" s="19">
        <v>69.265779359558081</v>
      </c>
      <c r="L19" s="19">
        <v>68.86734059937082</v>
      </c>
      <c r="M19" s="19">
        <v>49.843981457733108</v>
      </c>
      <c r="N19" s="19">
        <v>82.148608161772728</v>
      </c>
      <c r="O19" s="19">
        <v>69.498064356196892</v>
      </c>
      <c r="P19" s="19">
        <v>339.62377393463157</v>
      </c>
    </row>
    <row r="20" spans="2:16" x14ac:dyDescent="0.3">
      <c r="B20" s="16" t="s">
        <v>126</v>
      </c>
      <c r="C20" s="17" t="s">
        <v>5</v>
      </c>
      <c r="D20" s="18">
        <v>24586</v>
      </c>
      <c r="E20">
        <v>37065985</v>
      </c>
      <c r="F20" s="19">
        <f t="shared" si="0"/>
        <v>66.330356524991842</v>
      </c>
      <c r="J20" s="2" t="s">
        <v>15</v>
      </c>
      <c r="K20" s="19">
        <v>66.137017985669033</v>
      </c>
      <c r="L20" s="19">
        <v>69.882654816571446</v>
      </c>
      <c r="M20" s="19">
        <v>50.722289472535671</v>
      </c>
      <c r="N20" s="19">
        <v>79.56607030770877</v>
      </c>
      <c r="O20" s="19">
        <v>65.164093804929635</v>
      </c>
      <c r="P20" s="19">
        <v>331.47212638741451</v>
      </c>
    </row>
    <row r="21" spans="2:16" x14ac:dyDescent="0.3">
      <c r="B21" s="13" t="s">
        <v>126</v>
      </c>
      <c r="C21" s="14" t="s">
        <v>6</v>
      </c>
      <c r="D21" s="15">
        <v>24788</v>
      </c>
      <c r="E21">
        <v>37510048</v>
      </c>
      <c r="F21" s="19">
        <f t="shared" si="0"/>
        <v>66.083626445905907</v>
      </c>
      <c r="J21" s="2" t="s">
        <v>104</v>
      </c>
      <c r="K21" s="19">
        <v>950.55606355206407</v>
      </c>
      <c r="L21" s="19">
        <v>937.86005721541517</v>
      </c>
      <c r="M21" s="19">
        <v>673.85465638822359</v>
      </c>
      <c r="N21" s="19">
        <v>1156.2013400674643</v>
      </c>
      <c r="O21" s="19">
        <v>950.30800251931146</v>
      </c>
      <c r="P21" s="19">
        <v>4668.7801197424787</v>
      </c>
    </row>
    <row r="22" spans="2:16" x14ac:dyDescent="0.3">
      <c r="B22" s="16" t="s">
        <v>126</v>
      </c>
      <c r="C22" s="17" t="s">
        <v>7</v>
      </c>
      <c r="D22" s="18">
        <v>25213</v>
      </c>
      <c r="E22">
        <v>37924693</v>
      </c>
      <c r="F22" s="19">
        <f t="shared" si="0"/>
        <v>66.481751084972529</v>
      </c>
    </row>
    <row r="23" spans="2:16" x14ac:dyDescent="0.3">
      <c r="B23" s="13" t="s">
        <v>126</v>
      </c>
      <c r="C23" s="14" t="s">
        <v>8</v>
      </c>
      <c r="D23" s="15">
        <v>26021</v>
      </c>
      <c r="E23">
        <v>38304442</v>
      </c>
      <c r="F23" s="19">
        <f t="shared" si="0"/>
        <v>67.932069079612234</v>
      </c>
    </row>
    <row r="24" spans="2:16" x14ac:dyDescent="0.3">
      <c r="B24" s="16" t="s">
        <v>126</v>
      </c>
      <c r="C24" s="17" t="s">
        <v>9</v>
      </c>
      <c r="D24" s="18">
        <v>25852</v>
      </c>
      <c r="E24">
        <v>38643818</v>
      </c>
      <c r="F24" s="19">
        <f t="shared" si="0"/>
        <v>66.898151730245701</v>
      </c>
    </row>
    <row r="25" spans="2:16" x14ac:dyDescent="0.3">
      <c r="B25" s="13" t="s">
        <v>126</v>
      </c>
      <c r="C25" s="14" t="s">
        <v>10</v>
      </c>
      <c r="D25" s="15">
        <v>25789</v>
      </c>
      <c r="E25">
        <v>38968163</v>
      </c>
      <c r="F25" s="19">
        <f t="shared" si="0"/>
        <v>66.179665692734872</v>
      </c>
    </row>
    <row r="26" spans="2:16" x14ac:dyDescent="0.3">
      <c r="B26" s="16" t="s">
        <v>126</v>
      </c>
      <c r="C26" s="17" t="s">
        <v>11</v>
      </c>
      <c r="D26" s="18">
        <v>26111</v>
      </c>
      <c r="E26">
        <v>39270014</v>
      </c>
      <c r="F26" s="19">
        <f t="shared" si="0"/>
        <v>66.490936315938157</v>
      </c>
    </row>
    <row r="27" spans="2:16" x14ac:dyDescent="0.3">
      <c r="B27" s="13" t="s">
        <v>126</v>
      </c>
      <c r="C27" s="14" t="s">
        <v>12</v>
      </c>
      <c r="D27" s="15">
        <v>25369</v>
      </c>
      <c r="E27">
        <v>39556232</v>
      </c>
      <c r="F27" s="19">
        <f t="shared" si="0"/>
        <v>64.134015595823186</v>
      </c>
    </row>
    <row r="28" spans="2:16" x14ac:dyDescent="0.3">
      <c r="B28" s="16" t="s">
        <v>126</v>
      </c>
      <c r="C28" s="17" t="s">
        <v>13</v>
      </c>
      <c r="D28" s="18">
        <v>26347</v>
      </c>
      <c r="E28">
        <v>39822704</v>
      </c>
      <c r="F28" s="19">
        <f t="shared" si="0"/>
        <v>66.160750912343872</v>
      </c>
    </row>
    <row r="29" spans="2:16" x14ac:dyDescent="0.3">
      <c r="B29" s="13" t="s">
        <v>126</v>
      </c>
      <c r="C29" s="14" t="s">
        <v>14</v>
      </c>
      <c r="D29" s="15">
        <v>27583</v>
      </c>
      <c r="E29">
        <v>40052367</v>
      </c>
      <c r="F29" s="19">
        <f t="shared" si="0"/>
        <v>68.86734059937082</v>
      </c>
    </row>
    <row r="30" spans="2:16" x14ac:dyDescent="0.3">
      <c r="B30" s="16" t="s">
        <v>126</v>
      </c>
      <c r="C30" s="17" t="s">
        <v>15</v>
      </c>
      <c r="D30" s="18">
        <v>28134</v>
      </c>
      <c r="E30">
        <v>40258917</v>
      </c>
      <c r="F30" s="19">
        <f t="shared" si="0"/>
        <v>69.882654816571446</v>
      </c>
    </row>
    <row r="31" spans="2:16" x14ac:dyDescent="0.3">
      <c r="B31" s="13" t="s">
        <v>127</v>
      </c>
      <c r="C31" s="14" t="s">
        <v>2</v>
      </c>
      <c r="D31" s="15">
        <v>49715</v>
      </c>
      <c r="E31">
        <v>57164803</v>
      </c>
      <c r="F31" s="19">
        <f t="shared" si="0"/>
        <v>86.967849779872409</v>
      </c>
    </row>
    <row r="32" spans="2:16" x14ac:dyDescent="0.3">
      <c r="B32" s="16" t="s">
        <v>127</v>
      </c>
      <c r="C32" s="17" t="s">
        <v>3</v>
      </c>
      <c r="D32" s="18">
        <v>50354</v>
      </c>
      <c r="E32">
        <v>57841400</v>
      </c>
      <c r="F32" s="19">
        <f t="shared" si="0"/>
        <v>87.055292575905838</v>
      </c>
    </row>
    <row r="33" spans="2:6" x14ac:dyDescent="0.3">
      <c r="B33" s="13" t="s">
        <v>127</v>
      </c>
      <c r="C33" s="14" t="s">
        <v>4</v>
      </c>
      <c r="D33" s="15">
        <v>49433</v>
      </c>
      <c r="E33">
        <v>58502281</v>
      </c>
      <c r="F33" s="19">
        <f t="shared" si="0"/>
        <v>84.497560018215367</v>
      </c>
    </row>
    <row r="34" spans="2:6" x14ac:dyDescent="0.3">
      <c r="B34" s="16" t="s">
        <v>127</v>
      </c>
      <c r="C34" s="17" t="s">
        <v>5</v>
      </c>
      <c r="D34" s="18">
        <v>50067</v>
      </c>
      <c r="E34">
        <v>59134529</v>
      </c>
      <c r="F34" s="19">
        <f t="shared" si="0"/>
        <v>84.666270023052007</v>
      </c>
    </row>
    <row r="35" spans="2:6" x14ac:dyDescent="0.3">
      <c r="B35" s="13" t="s">
        <v>127</v>
      </c>
      <c r="C35" s="14" t="s">
        <v>6</v>
      </c>
      <c r="D35" s="15">
        <v>49433</v>
      </c>
      <c r="E35">
        <v>59717845</v>
      </c>
      <c r="F35" s="19">
        <f t="shared" si="0"/>
        <v>82.777601904422369</v>
      </c>
    </row>
    <row r="36" spans="2:6" x14ac:dyDescent="0.3">
      <c r="B36" s="16" t="s">
        <v>127</v>
      </c>
      <c r="C36" s="17" t="s">
        <v>7</v>
      </c>
      <c r="D36" s="18">
        <v>50305</v>
      </c>
      <c r="E36">
        <v>60239414</v>
      </c>
      <c r="F36" s="19">
        <f t="shared" si="0"/>
        <v>83.5084484719589</v>
      </c>
    </row>
    <row r="37" spans="2:6" x14ac:dyDescent="0.3">
      <c r="B37" s="13" t="s">
        <v>127</v>
      </c>
      <c r="C37" s="14" t="s">
        <v>8</v>
      </c>
      <c r="D37" s="15">
        <v>52418</v>
      </c>
      <c r="E37">
        <v>60713052</v>
      </c>
      <c r="F37" s="19">
        <f t="shared" si="0"/>
        <v>86.337283785371227</v>
      </c>
    </row>
    <row r="38" spans="2:6" x14ac:dyDescent="0.3">
      <c r="B38" s="16" t="s">
        <v>127</v>
      </c>
      <c r="C38" s="17" t="s">
        <v>9</v>
      </c>
      <c r="D38" s="18">
        <v>49715</v>
      </c>
      <c r="E38">
        <v>61100338</v>
      </c>
      <c r="F38" s="19">
        <f t="shared" si="0"/>
        <v>81.366162000609549</v>
      </c>
    </row>
    <row r="39" spans="2:6" x14ac:dyDescent="0.3">
      <c r="B39" s="13" t="s">
        <v>127</v>
      </c>
      <c r="C39" s="14" t="s">
        <v>10</v>
      </c>
      <c r="D39" s="15">
        <v>49601</v>
      </c>
      <c r="E39">
        <v>61433409</v>
      </c>
      <c r="F39" s="19">
        <f t="shared" si="0"/>
        <v>80.739455627474626</v>
      </c>
    </row>
    <row r="40" spans="2:6" x14ac:dyDescent="0.3">
      <c r="B40" s="16" t="s">
        <v>127</v>
      </c>
      <c r="C40" s="17" t="s">
        <v>11</v>
      </c>
      <c r="D40" s="18">
        <v>49707</v>
      </c>
      <c r="E40">
        <v>61728926</v>
      </c>
      <c r="F40" s="19">
        <f t="shared" si="0"/>
        <v>80.524647391402866</v>
      </c>
    </row>
    <row r="41" spans="2:6" x14ac:dyDescent="0.3">
      <c r="B41" s="13" t="s">
        <v>127</v>
      </c>
      <c r="C41" s="14" t="s">
        <v>12</v>
      </c>
      <c r="D41" s="15">
        <v>47104</v>
      </c>
      <c r="E41">
        <v>61987314</v>
      </c>
      <c r="F41" s="19">
        <f t="shared" si="0"/>
        <v>75.98974203011926</v>
      </c>
    </row>
    <row r="42" spans="2:6" x14ac:dyDescent="0.3">
      <c r="B42" s="16" t="s">
        <v>127</v>
      </c>
      <c r="C42" s="17" t="s">
        <v>13</v>
      </c>
      <c r="D42" s="18">
        <v>49791</v>
      </c>
      <c r="E42">
        <v>62194943</v>
      </c>
      <c r="F42" s="19">
        <f t="shared" si="0"/>
        <v>80.056347989578512</v>
      </c>
    </row>
    <row r="43" spans="2:6" x14ac:dyDescent="0.3">
      <c r="B43" s="13" t="s">
        <v>127</v>
      </c>
      <c r="C43" s="14" t="s">
        <v>14</v>
      </c>
      <c r="D43" s="15">
        <v>51219</v>
      </c>
      <c r="E43">
        <v>62349200</v>
      </c>
      <c r="F43" s="19">
        <f t="shared" si="0"/>
        <v>82.148608161772728</v>
      </c>
    </row>
    <row r="44" spans="2:6" x14ac:dyDescent="0.3">
      <c r="B44" s="16" t="s">
        <v>127</v>
      </c>
      <c r="C44" s="17" t="s">
        <v>15</v>
      </c>
      <c r="D44" s="18">
        <v>49707</v>
      </c>
      <c r="E44">
        <v>62472609</v>
      </c>
      <c r="F44" s="19">
        <f t="shared" si="0"/>
        <v>79.56607030770877</v>
      </c>
    </row>
    <row r="45" spans="2:6" x14ac:dyDescent="0.3">
      <c r="B45" s="13" t="s">
        <v>128</v>
      </c>
      <c r="C45" s="14" t="s">
        <v>2</v>
      </c>
      <c r="D45" s="15">
        <v>14378</v>
      </c>
      <c r="E45">
        <v>19445728</v>
      </c>
      <c r="F45" s="19">
        <f t="shared" si="0"/>
        <v>73.939119173116069</v>
      </c>
    </row>
    <row r="46" spans="2:6" x14ac:dyDescent="0.3">
      <c r="B46" s="16" t="s">
        <v>128</v>
      </c>
      <c r="C46" s="17" t="s">
        <v>3</v>
      </c>
      <c r="D46" s="18">
        <v>14670</v>
      </c>
      <c r="E46">
        <v>19674714</v>
      </c>
      <c r="F46" s="19">
        <f t="shared" si="0"/>
        <v>74.562710288952616</v>
      </c>
    </row>
    <row r="47" spans="2:6" x14ac:dyDescent="0.3">
      <c r="B47" s="13" t="s">
        <v>128</v>
      </c>
      <c r="C47" s="14" t="s">
        <v>4</v>
      </c>
      <c r="D47" s="15">
        <v>13993</v>
      </c>
      <c r="E47">
        <v>19893273</v>
      </c>
      <c r="F47" s="19">
        <f t="shared" si="0"/>
        <v>70.340360784271141</v>
      </c>
    </row>
    <row r="48" spans="2:6" x14ac:dyDescent="0.3">
      <c r="B48" s="16" t="s">
        <v>128</v>
      </c>
      <c r="C48" s="17" t="s">
        <v>5</v>
      </c>
      <c r="D48" s="18">
        <v>14195</v>
      </c>
      <c r="E48">
        <v>20097776</v>
      </c>
      <c r="F48" s="19">
        <f t="shared" si="0"/>
        <v>70.629705495772271</v>
      </c>
    </row>
    <row r="49" spans="2:6" x14ac:dyDescent="0.3">
      <c r="B49" s="13" t="s">
        <v>128</v>
      </c>
      <c r="C49" s="14" t="s">
        <v>6</v>
      </c>
      <c r="D49" s="15">
        <v>13772</v>
      </c>
      <c r="E49">
        <v>20283064</v>
      </c>
      <c r="F49" s="19">
        <f t="shared" si="0"/>
        <v>67.899011707501387</v>
      </c>
    </row>
    <row r="50" spans="2:6" x14ac:dyDescent="0.3">
      <c r="B50" s="16" t="s">
        <v>128</v>
      </c>
      <c r="C50" s="17" t="s">
        <v>7</v>
      </c>
      <c r="D50" s="18">
        <v>13872</v>
      </c>
      <c r="E50">
        <v>20445954</v>
      </c>
      <c r="F50" s="19">
        <f t="shared" si="0"/>
        <v>67.847164284924048</v>
      </c>
    </row>
    <row r="51" spans="2:6" x14ac:dyDescent="0.3">
      <c r="B51" s="13" t="s">
        <v>128</v>
      </c>
      <c r="C51" s="14" t="s">
        <v>8</v>
      </c>
      <c r="D51" s="15">
        <v>14286</v>
      </c>
      <c r="E51">
        <v>20593060</v>
      </c>
      <c r="F51" s="19">
        <f t="shared" si="0"/>
        <v>69.372885816872284</v>
      </c>
    </row>
    <row r="52" spans="2:6" x14ac:dyDescent="0.3">
      <c r="B52" s="16" t="s">
        <v>128</v>
      </c>
      <c r="C52" s="17" t="s">
        <v>9</v>
      </c>
      <c r="D52" s="18">
        <v>13609</v>
      </c>
      <c r="E52">
        <v>20705900</v>
      </c>
      <c r="F52" s="19">
        <f t="shared" si="0"/>
        <v>65.725228075089717</v>
      </c>
    </row>
    <row r="53" spans="2:6" x14ac:dyDescent="0.3">
      <c r="B53" s="13" t="s">
        <v>128</v>
      </c>
      <c r="C53" s="14" t="s">
        <v>10</v>
      </c>
      <c r="D53" s="15">
        <v>13392</v>
      </c>
      <c r="E53">
        <v>20795076</v>
      </c>
      <c r="F53" s="19">
        <f t="shared" si="0"/>
        <v>64.399860813204057</v>
      </c>
    </row>
    <row r="54" spans="2:6" x14ac:dyDescent="0.3">
      <c r="B54" s="16" t="s">
        <v>128</v>
      </c>
      <c r="C54" s="17" t="s">
        <v>11</v>
      </c>
      <c r="D54" s="18">
        <v>13125</v>
      </c>
      <c r="E54">
        <v>20870911</v>
      </c>
      <c r="F54" s="19">
        <f t="shared" si="0"/>
        <v>62.886569733348004</v>
      </c>
    </row>
    <row r="55" spans="2:6" x14ac:dyDescent="0.3">
      <c r="B55" s="13" t="s">
        <v>128</v>
      </c>
      <c r="C55" s="14" t="s">
        <v>12</v>
      </c>
      <c r="D55" s="15">
        <v>12923</v>
      </c>
      <c r="E55">
        <v>20940896</v>
      </c>
      <c r="F55" s="19">
        <f t="shared" si="0"/>
        <v>61.711781578018446</v>
      </c>
    </row>
    <row r="56" spans="2:6" x14ac:dyDescent="0.3">
      <c r="B56" s="16" t="s">
        <v>128</v>
      </c>
      <c r="C56" s="17" t="s">
        <v>13</v>
      </c>
      <c r="D56" s="18">
        <v>13926</v>
      </c>
      <c r="E56">
        <v>20994567</v>
      </c>
      <c r="F56" s="19">
        <f t="shared" si="0"/>
        <v>66.331446607115069</v>
      </c>
    </row>
    <row r="57" spans="2:6" x14ac:dyDescent="0.3">
      <c r="B57" s="13" t="s">
        <v>128</v>
      </c>
      <c r="C57" s="14" t="s">
        <v>14</v>
      </c>
      <c r="D57" s="15">
        <v>14612</v>
      </c>
      <c r="E57">
        <v>21025046</v>
      </c>
      <c r="F57" s="19">
        <f t="shared" si="0"/>
        <v>69.498064356196892</v>
      </c>
    </row>
    <row r="58" spans="2:6" x14ac:dyDescent="0.3">
      <c r="B58" s="16" t="s">
        <v>128</v>
      </c>
      <c r="C58" s="17" t="s">
        <v>15</v>
      </c>
      <c r="D58" s="18">
        <v>13712</v>
      </c>
      <c r="E58">
        <v>21042263</v>
      </c>
      <c r="F58" s="19">
        <f t="shared" si="0"/>
        <v>65.164093804929635</v>
      </c>
    </row>
    <row r="59" spans="2:6" x14ac:dyDescent="0.3">
      <c r="B59" s="13" t="s">
        <v>129</v>
      </c>
      <c r="C59" s="14" t="s">
        <v>2</v>
      </c>
      <c r="D59" s="15">
        <v>7177</v>
      </c>
      <c r="E59">
        <v>9921631</v>
      </c>
      <c r="F59" s="19">
        <f t="shared" si="0"/>
        <v>72.33689702832126</v>
      </c>
    </row>
    <row r="60" spans="2:6" x14ac:dyDescent="0.3">
      <c r="B60" s="16" t="s">
        <v>129</v>
      </c>
      <c r="C60" s="17" t="s">
        <v>3</v>
      </c>
      <c r="D60" s="18">
        <v>7233</v>
      </c>
      <c r="E60">
        <v>10119024</v>
      </c>
      <c r="F60" s="19">
        <f t="shared" si="0"/>
        <v>71.479225664451434</v>
      </c>
    </row>
    <row r="61" spans="2:6" x14ac:dyDescent="0.3">
      <c r="B61" s="13" t="s">
        <v>129</v>
      </c>
      <c r="C61" s="14" t="s">
        <v>4</v>
      </c>
      <c r="D61" s="15">
        <v>7345</v>
      </c>
      <c r="E61">
        <v>10312871</v>
      </c>
      <c r="F61" s="19">
        <f t="shared" si="0"/>
        <v>71.221680170342481</v>
      </c>
    </row>
    <row r="62" spans="2:6" x14ac:dyDescent="0.3">
      <c r="B62" s="16" t="s">
        <v>129</v>
      </c>
      <c r="C62" s="17" t="s">
        <v>5</v>
      </c>
      <c r="D62" s="18">
        <v>7479</v>
      </c>
      <c r="E62">
        <v>10501697</v>
      </c>
      <c r="F62" s="19">
        <f t="shared" si="0"/>
        <v>71.217061394934547</v>
      </c>
    </row>
    <row r="63" spans="2:6" x14ac:dyDescent="0.3">
      <c r="B63" s="13" t="s">
        <v>129</v>
      </c>
      <c r="C63" s="14" t="s">
        <v>6</v>
      </c>
      <c r="D63" s="15">
        <v>7261</v>
      </c>
      <c r="E63">
        <v>10683260</v>
      </c>
      <c r="F63" s="19">
        <f t="shared" si="0"/>
        <v>67.966145165427037</v>
      </c>
    </row>
    <row r="64" spans="2:6" x14ac:dyDescent="0.3">
      <c r="B64" s="16" t="s">
        <v>129</v>
      </c>
      <c r="C64" s="17" t="s">
        <v>7</v>
      </c>
      <c r="D64" s="18">
        <v>7234</v>
      </c>
      <c r="E64">
        <v>10856106</v>
      </c>
      <c r="F64" s="19">
        <f t="shared" si="0"/>
        <v>66.635311040625425</v>
      </c>
    </row>
    <row r="65" spans="2:6" x14ac:dyDescent="0.3">
      <c r="B65" s="13" t="s">
        <v>129</v>
      </c>
      <c r="C65" s="14" t="s">
        <v>8</v>
      </c>
      <c r="D65" s="15">
        <v>7257</v>
      </c>
      <c r="E65">
        <v>11016654</v>
      </c>
      <c r="F65" s="19">
        <f t="shared" si="0"/>
        <v>65.87299555745328</v>
      </c>
    </row>
    <row r="66" spans="2:6" x14ac:dyDescent="0.3">
      <c r="B66" s="16" t="s">
        <v>129</v>
      </c>
      <c r="C66" s="17" t="s">
        <v>9</v>
      </c>
      <c r="D66" s="18">
        <v>7338</v>
      </c>
      <c r="E66">
        <v>11168820</v>
      </c>
      <c r="F66" s="19">
        <f t="shared" si="0"/>
        <v>65.700763375181978</v>
      </c>
    </row>
    <row r="67" spans="2:6" x14ac:dyDescent="0.3">
      <c r="B67" s="13" t="s">
        <v>129</v>
      </c>
      <c r="C67" s="14" t="s">
        <v>10</v>
      </c>
      <c r="D67" s="15">
        <v>7434</v>
      </c>
      <c r="E67">
        <v>11315468</v>
      </c>
      <c r="F67" s="19">
        <f t="shared" si="0"/>
        <v>65.697680378752338</v>
      </c>
    </row>
    <row r="68" spans="2:6" x14ac:dyDescent="0.3">
      <c r="B68" s="16" t="s">
        <v>129</v>
      </c>
      <c r="C68" s="17" t="s">
        <v>11</v>
      </c>
      <c r="D68" s="18">
        <v>7220</v>
      </c>
      <c r="E68">
        <v>11456234</v>
      </c>
      <c r="F68" s="19">
        <f t="shared" ref="F68:F72" si="1">(D68/E68)*100000</f>
        <v>63.022455721487532</v>
      </c>
    </row>
    <row r="69" spans="2:6" x14ac:dyDescent="0.3">
      <c r="B69" s="13" t="s">
        <v>129</v>
      </c>
      <c r="C69" s="14" t="s">
        <v>12</v>
      </c>
      <c r="D69" s="15">
        <v>7423</v>
      </c>
      <c r="E69">
        <v>11592751</v>
      </c>
      <c r="F69" s="19">
        <f t="shared" si="1"/>
        <v>64.031393411279169</v>
      </c>
    </row>
    <row r="70" spans="2:6" x14ac:dyDescent="0.3">
      <c r="B70" s="16" t="s">
        <v>129</v>
      </c>
      <c r="C70" s="17" t="s">
        <v>13</v>
      </c>
      <c r="D70" s="18">
        <v>8202</v>
      </c>
      <c r="E70">
        <v>11721889</v>
      </c>
      <c r="F70" s="19">
        <f t="shared" si="1"/>
        <v>69.971657298580453</v>
      </c>
    </row>
    <row r="71" spans="2:6" x14ac:dyDescent="0.3">
      <c r="B71" s="13" t="s">
        <v>129</v>
      </c>
      <c r="C71" s="14" t="s">
        <v>14</v>
      </c>
      <c r="D71" s="15">
        <v>8199</v>
      </c>
      <c r="E71">
        <v>11837014</v>
      </c>
      <c r="F71" s="19">
        <f t="shared" si="1"/>
        <v>69.265779359558081</v>
      </c>
    </row>
    <row r="72" spans="2:6" x14ac:dyDescent="0.3">
      <c r="B72" s="16" t="s">
        <v>129</v>
      </c>
      <c r="C72" s="17" t="s">
        <v>15</v>
      </c>
      <c r="D72" s="18">
        <v>7900</v>
      </c>
      <c r="E72">
        <v>11944899</v>
      </c>
      <c r="F72" s="19">
        <f t="shared" si="1"/>
        <v>66.137017985669033</v>
      </c>
    </row>
  </sheetData>
  <pageMargins left="0.511811024" right="0.511811024" top="0.78740157499999996" bottom="0.78740157499999996" header="0.31496062000000002" footer="0.31496062000000002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4AEB6-A6BC-4164-A41F-94077B05F8FD}">
  <dimension ref="A1:O71"/>
  <sheetViews>
    <sheetView topLeftCell="A2" workbookViewId="0">
      <selection activeCell="N7" sqref="N7:O11"/>
    </sheetView>
  </sheetViews>
  <sheetFormatPr defaultRowHeight="14.4" x14ac:dyDescent="0.3"/>
  <cols>
    <col min="1" max="2" width="10.6640625" bestFit="1" customWidth="1"/>
    <col min="3" max="3" width="8" bestFit="1" customWidth="1"/>
    <col min="14" max="14" width="18" bestFit="1" customWidth="1"/>
    <col min="15" max="15" width="15" bestFit="1" customWidth="1"/>
  </cols>
  <sheetData>
    <row r="1" spans="1:15" x14ac:dyDescent="0.3">
      <c r="A1" t="s">
        <v>93</v>
      </c>
      <c r="B1" t="s">
        <v>101</v>
      </c>
      <c r="C1" t="s">
        <v>102</v>
      </c>
    </row>
    <row r="2" spans="1:15" x14ac:dyDescent="0.3">
      <c r="A2" t="s">
        <v>94</v>
      </c>
      <c r="B2" t="s">
        <v>2</v>
      </c>
      <c r="C2">
        <v>46682</v>
      </c>
    </row>
    <row r="3" spans="1:15" x14ac:dyDescent="0.3">
      <c r="A3" t="s">
        <v>94</v>
      </c>
      <c r="B3" t="s">
        <v>3</v>
      </c>
      <c r="C3">
        <v>46975</v>
      </c>
    </row>
    <row r="4" spans="1:15" x14ac:dyDescent="0.3">
      <c r="A4" t="s">
        <v>94</v>
      </c>
      <c r="B4" t="s">
        <v>4</v>
      </c>
      <c r="C4">
        <v>45969</v>
      </c>
    </row>
    <row r="5" spans="1:15" x14ac:dyDescent="0.3">
      <c r="A5" t="s">
        <v>94</v>
      </c>
      <c r="B5" t="s">
        <v>5</v>
      </c>
      <c r="C5">
        <v>45767</v>
      </c>
    </row>
    <row r="6" spans="1:15" x14ac:dyDescent="0.3">
      <c r="A6" t="s">
        <v>94</v>
      </c>
      <c r="B6" t="s">
        <v>6</v>
      </c>
      <c r="C6">
        <v>44765</v>
      </c>
      <c r="N6" s="1" t="s">
        <v>103</v>
      </c>
      <c r="O6" t="s">
        <v>105</v>
      </c>
    </row>
    <row r="7" spans="1:15" x14ac:dyDescent="0.3">
      <c r="A7" t="s">
        <v>94</v>
      </c>
      <c r="B7" t="s">
        <v>7</v>
      </c>
      <c r="C7">
        <v>45365</v>
      </c>
      <c r="N7" s="2" t="s">
        <v>98</v>
      </c>
      <c r="O7">
        <v>2863</v>
      </c>
    </row>
    <row r="8" spans="1:15" x14ac:dyDescent="0.3">
      <c r="A8" t="s">
        <v>94</v>
      </c>
      <c r="B8" t="s">
        <v>8</v>
      </c>
      <c r="C8">
        <v>46344</v>
      </c>
      <c r="N8" s="2" t="s">
        <v>96</v>
      </c>
      <c r="O8">
        <v>5292</v>
      </c>
    </row>
    <row r="9" spans="1:15" x14ac:dyDescent="0.3">
      <c r="A9" t="s">
        <v>94</v>
      </c>
      <c r="B9" t="s">
        <v>9</v>
      </c>
      <c r="C9">
        <v>44510</v>
      </c>
      <c r="N9" s="2" t="s">
        <v>95</v>
      </c>
      <c r="O9">
        <v>160676</v>
      </c>
    </row>
    <row r="10" spans="1:15" x14ac:dyDescent="0.3">
      <c r="A10" t="s">
        <v>94</v>
      </c>
      <c r="B10" t="s">
        <v>10</v>
      </c>
      <c r="C10">
        <v>43831</v>
      </c>
      <c r="N10" s="2" t="s">
        <v>97</v>
      </c>
      <c r="O10">
        <v>593568</v>
      </c>
    </row>
    <row r="11" spans="1:15" x14ac:dyDescent="0.3">
      <c r="A11" t="s">
        <v>94</v>
      </c>
      <c r="B11" t="s">
        <v>11</v>
      </c>
      <c r="C11">
        <v>43656</v>
      </c>
      <c r="N11" s="2" t="s">
        <v>94</v>
      </c>
      <c r="O11">
        <v>626464</v>
      </c>
    </row>
    <row r="12" spans="1:15" x14ac:dyDescent="0.3">
      <c r="A12" t="s">
        <v>94</v>
      </c>
      <c r="B12" t="s">
        <v>12</v>
      </c>
      <c r="C12">
        <v>40834</v>
      </c>
      <c r="N12" s="2" t="s">
        <v>104</v>
      </c>
      <c r="O12">
        <v>1388863</v>
      </c>
    </row>
    <row r="13" spans="1:15" x14ac:dyDescent="0.3">
      <c r="A13" t="s">
        <v>94</v>
      </c>
      <c r="B13" t="s">
        <v>13</v>
      </c>
      <c r="C13">
        <v>43405</v>
      </c>
    </row>
    <row r="14" spans="1:15" x14ac:dyDescent="0.3">
      <c r="A14" t="s">
        <v>94</v>
      </c>
      <c r="B14" t="s">
        <v>14</v>
      </c>
      <c r="C14">
        <v>44930</v>
      </c>
    </row>
    <row r="15" spans="1:15" x14ac:dyDescent="0.3">
      <c r="A15" t="s">
        <v>94</v>
      </c>
      <c r="B15" t="s">
        <v>15</v>
      </c>
      <c r="C15">
        <v>43431</v>
      </c>
    </row>
    <row r="16" spans="1:15" x14ac:dyDescent="0.3">
      <c r="A16" t="s">
        <v>95</v>
      </c>
      <c r="B16" t="s">
        <v>2</v>
      </c>
      <c r="C16">
        <v>10569</v>
      </c>
    </row>
    <row r="17" spans="1:3" x14ac:dyDescent="0.3">
      <c r="A17" t="s">
        <v>95</v>
      </c>
      <c r="B17" t="s">
        <v>3</v>
      </c>
      <c r="C17">
        <v>11218</v>
      </c>
    </row>
    <row r="18" spans="1:3" x14ac:dyDescent="0.3">
      <c r="A18" t="s">
        <v>95</v>
      </c>
      <c r="B18" t="s">
        <v>4</v>
      </c>
      <c r="C18">
        <v>10904</v>
      </c>
    </row>
    <row r="19" spans="1:3" x14ac:dyDescent="0.3">
      <c r="A19" t="s">
        <v>95</v>
      </c>
      <c r="B19" t="s">
        <v>5</v>
      </c>
      <c r="C19">
        <v>10850</v>
      </c>
    </row>
    <row r="20" spans="1:3" x14ac:dyDescent="0.3">
      <c r="A20" t="s">
        <v>95</v>
      </c>
      <c r="B20" t="s">
        <v>6</v>
      </c>
      <c r="C20">
        <v>10919</v>
      </c>
    </row>
    <row r="21" spans="1:3" x14ac:dyDescent="0.3">
      <c r="A21" t="s">
        <v>95</v>
      </c>
      <c r="B21" t="s">
        <v>7</v>
      </c>
      <c r="C21">
        <v>10903</v>
      </c>
    </row>
    <row r="22" spans="1:3" x14ac:dyDescent="0.3">
      <c r="A22" t="s">
        <v>95</v>
      </c>
      <c r="B22" t="s">
        <v>8</v>
      </c>
      <c r="C22">
        <v>11287</v>
      </c>
    </row>
    <row r="23" spans="1:3" x14ac:dyDescent="0.3">
      <c r="A23" t="s">
        <v>95</v>
      </c>
      <c r="B23" t="s">
        <v>9</v>
      </c>
      <c r="C23">
        <v>11012</v>
      </c>
    </row>
    <row r="24" spans="1:3" x14ac:dyDescent="0.3">
      <c r="A24" t="s">
        <v>95</v>
      </c>
      <c r="B24" t="s">
        <v>10</v>
      </c>
      <c r="C24">
        <v>11134</v>
      </c>
    </row>
    <row r="25" spans="1:3" x14ac:dyDescent="0.3">
      <c r="A25" t="s">
        <v>95</v>
      </c>
      <c r="B25" t="s">
        <v>11</v>
      </c>
      <c r="C25">
        <v>11386</v>
      </c>
    </row>
    <row r="26" spans="1:3" x14ac:dyDescent="0.3">
      <c r="A26" t="s">
        <v>95</v>
      </c>
      <c r="B26" t="s">
        <v>12</v>
      </c>
      <c r="C26">
        <v>11866</v>
      </c>
    </row>
    <row r="27" spans="1:3" x14ac:dyDescent="0.3">
      <c r="A27" t="s">
        <v>95</v>
      </c>
      <c r="B27" t="s">
        <v>13</v>
      </c>
      <c r="C27">
        <v>12536</v>
      </c>
    </row>
    <row r="28" spans="1:3" x14ac:dyDescent="0.3">
      <c r="A28" t="s">
        <v>95</v>
      </c>
      <c r="B28" t="s">
        <v>14</v>
      </c>
      <c r="C28">
        <v>12885</v>
      </c>
    </row>
    <row r="29" spans="1:3" x14ac:dyDescent="0.3">
      <c r="A29" t="s">
        <v>95</v>
      </c>
      <c r="B29" t="s">
        <v>15</v>
      </c>
      <c r="C29">
        <v>13207</v>
      </c>
    </row>
    <row r="30" spans="1:3" x14ac:dyDescent="0.3">
      <c r="A30" t="s">
        <v>96</v>
      </c>
      <c r="B30" t="s">
        <v>2</v>
      </c>
      <c r="C30">
        <v>340</v>
      </c>
    </row>
    <row r="31" spans="1:3" x14ac:dyDescent="0.3">
      <c r="A31" t="s">
        <v>96</v>
      </c>
      <c r="B31" t="s">
        <v>3</v>
      </c>
      <c r="C31">
        <v>384</v>
      </c>
    </row>
    <row r="32" spans="1:3" x14ac:dyDescent="0.3">
      <c r="A32" t="s">
        <v>96</v>
      </c>
      <c r="B32" t="s">
        <v>4</v>
      </c>
      <c r="C32">
        <v>340</v>
      </c>
    </row>
    <row r="33" spans="1:3" x14ac:dyDescent="0.3">
      <c r="A33" t="s">
        <v>96</v>
      </c>
      <c r="B33" t="s">
        <v>5</v>
      </c>
      <c r="C33">
        <v>382</v>
      </c>
    </row>
    <row r="34" spans="1:3" x14ac:dyDescent="0.3">
      <c r="A34" t="s">
        <v>96</v>
      </c>
      <c r="B34" t="s">
        <v>6</v>
      </c>
      <c r="C34">
        <v>386</v>
      </c>
    </row>
    <row r="35" spans="1:3" x14ac:dyDescent="0.3">
      <c r="A35" t="s">
        <v>96</v>
      </c>
      <c r="B35" t="s">
        <v>7</v>
      </c>
      <c r="C35">
        <v>366</v>
      </c>
    </row>
    <row r="36" spans="1:3" x14ac:dyDescent="0.3">
      <c r="A36" t="s">
        <v>96</v>
      </c>
      <c r="B36" t="s">
        <v>8</v>
      </c>
      <c r="C36">
        <v>383</v>
      </c>
    </row>
    <row r="37" spans="1:3" x14ac:dyDescent="0.3">
      <c r="A37" t="s">
        <v>96</v>
      </c>
      <c r="B37" t="s">
        <v>9</v>
      </c>
      <c r="C37">
        <v>383</v>
      </c>
    </row>
    <row r="38" spans="1:3" x14ac:dyDescent="0.3">
      <c r="A38" t="s">
        <v>96</v>
      </c>
      <c r="B38" t="s">
        <v>10</v>
      </c>
      <c r="C38">
        <v>363</v>
      </c>
    </row>
    <row r="39" spans="1:3" x14ac:dyDescent="0.3">
      <c r="A39" t="s">
        <v>96</v>
      </c>
      <c r="B39" t="s">
        <v>11</v>
      </c>
      <c r="C39">
        <v>359</v>
      </c>
    </row>
    <row r="40" spans="1:3" x14ac:dyDescent="0.3">
      <c r="A40" t="s">
        <v>96</v>
      </c>
      <c r="B40" t="s">
        <v>12</v>
      </c>
      <c r="C40">
        <v>375</v>
      </c>
    </row>
    <row r="41" spans="1:3" x14ac:dyDescent="0.3">
      <c r="A41" t="s">
        <v>96</v>
      </c>
      <c r="B41" t="s">
        <v>13</v>
      </c>
      <c r="C41">
        <v>405</v>
      </c>
    </row>
    <row r="42" spans="1:3" x14ac:dyDescent="0.3">
      <c r="A42" t="s">
        <v>96</v>
      </c>
      <c r="B42" t="s">
        <v>14</v>
      </c>
      <c r="C42">
        <v>410</v>
      </c>
    </row>
    <row r="43" spans="1:3" x14ac:dyDescent="0.3">
      <c r="A43" t="s">
        <v>96</v>
      </c>
      <c r="B43" t="s">
        <v>15</v>
      </c>
      <c r="C43">
        <v>416</v>
      </c>
    </row>
    <row r="44" spans="1:3" x14ac:dyDescent="0.3">
      <c r="A44" t="s">
        <v>97</v>
      </c>
      <c r="B44" t="s">
        <v>2</v>
      </c>
      <c r="C44">
        <v>36222</v>
      </c>
    </row>
    <row r="45" spans="1:3" x14ac:dyDescent="0.3">
      <c r="A45" t="s">
        <v>97</v>
      </c>
      <c r="B45" t="s">
        <v>3</v>
      </c>
      <c r="C45">
        <v>37821</v>
      </c>
    </row>
    <row r="46" spans="1:3" x14ac:dyDescent="0.3">
      <c r="A46" t="s">
        <v>97</v>
      </c>
      <c r="B46" t="s">
        <v>4</v>
      </c>
      <c r="C46">
        <v>38548</v>
      </c>
    </row>
    <row r="47" spans="1:3" x14ac:dyDescent="0.3">
      <c r="A47" t="s">
        <v>97</v>
      </c>
      <c r="B47" t="s">
        <v>5</v>
      </c>
      <c r="C47">
        <v>39574</v>
      </c>
    </row>
    <row r="48" spans="1:3" x14ac:dyDescent="0.3">
      <c r="A48" t="s">
        <v>97</v>
      </c>
      <c r="B48" t="s">
        <v>6</v>
      </c>
      <c r="C48">
        <v>40257</v>
      </c>
    </row>
    <row r="49" spans="1:3" x14ac:dyDescent="0.3">
      <c r="A49" t="s">
        <v>97</v>
      </c>
      <c r="B49" t="s">
        <v>7</v>
      </c>
      <c r="C49">
        <v>41536</v>
      </c>
    </row>
    <row r="50" spans="1:3" x14ac:dyDescent="0.3">
      <c r="A50" t="s">
        <v>97</v>
      </c>
      <c r="B50" t="s">
        <v>8</v>
      </c>
      <c r="C50">
        <v>43952</v>
      </c>
    </row>
    <row r="51" spans="1:3" x14ac:dyDescent="0.3">
      <c r="A51" t="s">
        <v>97</v>
      </c>
      <c r="B51" t="s">
        <v>9</v>
      </c>
      <c r="C51">
        <v>43447</v>
      </c>
    </row>
    <row r="52" spans="1:3" x14ac:dyDescent="0.3">
      <c r="A52" t="s">
        <v>97</v>
      </c>
      <c r="B52" t="s">
        <v>10</v>
      </c>
      <c r="C52">
        <v>43721</v>
      </c>
    </row>
    <row r="53" spans="1:3" x14ac:dyDescent="0.3">
      <c r="A53" t="s">
        <v>97</v>
      </c>
      <c r="B53" t="s">
        <v>11</v>
      </c>
      <c r="C53">
        <v>44150</v>
      </c>
    </row>
    <row r="54" spans="1:3" x14ac:dyDescent="0.3">
      <c r="A54" t="s">
        <v>97</v>
      </c>
      <c r="B54" t="s">
        <v>12</v>
      </c>
      <c r="C54">
        <v>43196</v>
      </c>
    </row>
    <row r="55" spans="1:3" x14ac:dyDescent="0.3">
      <c r="A55" t="s">
        <v>97</v>
      </c>
      <c r="B55" t="s">
        <v>13</v>
      </c>
      <c r="C55">
        <v>45798</v>
      </c>
    </row>
    <row r="56" spans="1:3" x14ac:dyDescent="0.3">
      <c r="A56" t="s">
        <v>97</v>
      </c>
      <c r="B56" t="s">
        <v>14</v>
      </c>
      <c r="C56">
        <v>47906</v>
      </c>
    </row>
    <row r="57" spans="1:3" x14ac:dyDescent="0.3">
      <c r="A57" t="s">
        <v>97</v>
      </c>
      <c r="B57" t="s">
        <v>15</v>
      </c>
      <c r="C57">
        <v>47440</v>
      </c>
    </row>
    <row r="58" spans="1:3" x14ac:dyDescent="0.3">
      <c r="A58" t="s">
        <v>98</v>
      </c>
      <c r="B58" t="s">
        <v>2</v>
      </c>
      <c r="C58">
        <v>155</v>
      </c>
    </row>
    <row r="59" spans="1:3" x14ac:dyDescent="0.3">
      <c r="A59" t="s">
        <v>98</v>
      </c>
      <c r="B59" t="s">
        <v>3</v>
      </c>
      <c r="C59">
        <v>135</v>
      </c>
    </row>
    <row r="60" spans="1:3" x14ac:dyDescent="0.3">
      <c r="A60" t="s">
        <v>98</v>
      </c>
      <c r="B60" t="s">
        <v>4</v>
      </c>
      <c r="C60">
        <v>134</v>
      </c>
    </row>
    <row r="61" spans="1:3" x14ac:dyDescent="0.3">
      <c r="A61" t="s">
        <v>98</v>
      </c>
      <c r="B61" t="s">
        <v>5</v>
      </c>
      <c r="C61">
        <v>166</v>
      </c>
    </row>
    <row r="62" spans="1:3" x14ac:dyDescent="0.3">
      <c r="A62" t="s">
        <v>98</v>
      </c>
      <c r="B62" t="s">
        <v>6</v>
      </c>
      <c r="C62">
        <v>180</v>
      </c>
    </row>
    <row r="63" spans="1:3" x14ac:dyDescent="0.3">
      <c r="A63" t="s">
        <v>98</v>
      </c>
      <c r="B63" t="s">
        <v>7</v>
      </c>
      <c r="C63">
        <v>178</v>
      </c>
    </row>
    <row r="64" spans="1:3" x14ac:dyDescent="0.3">
      <c r="A64" t="s">
        <v>98</v>
      </c>
      <c r="B64" t="s">
        <v>8</v>
      </c>
      <c r="C64">
        <v>188</v>
      </c>
    </row>
    <row r="65" spans="1:3" x14ac:dyDescent="0.3">
      <c r="A65" t="s">
        <v>98</v>
      </c>
      <c r="B65" t="s">
        <v>9</v>
      </c>
      <c r="C65">
        <v>196</v>
      </c>
    </row>
    <row r="66" spans="1:3" x14ac:dyDescent="0.3">
      <c r="A66" t="s">
        <v>98</v>
      </c>
      <c r="B66" t="s">
        <v>10</v>
      </c>
      <c r="C66">
        <v>209</v>
      </c>
    </row>
    <row r="67" spans="1:3" x14ac:dyDescent="0.3">
      <c r="A67" t="s">
        <v>98</v>
      </c>
      <c r="B67" t="s">
        <v>11</v>
      </c>
      <c r="C67">
        <v>232</v>
      </c>
    </row>
    <row r="68" spans="1:3" x14ac:dyDescent="0.3">
      <c r="A68" t="s">
        <v>98</v>
      </c>
      <c r="B68" t="s">
        <v>12</v>
      </c>
      <c r="C68">
        <v>230</v>
      </c>
    </row>
    <row r="69" spans="1:3" x14ac:dyDescent="0.3">
      <c r="A69" t="s">
        <v>98</v>
      </c>
      <c r="B69" t="s">
        <v>13</v>
      </c>
      <c r="C69">
        <v>286</v>
      </c>
    </row>
    <row r="70" spans="1:3" x14ac:dyDescent="0.3">
      <c r="A70" t="s">
        <v>98</v>
      </c>
      <c r="B70" t="s">
        <v>14</v>
      </c>
      <c r="C70">
        <v>287</v>
      </c>
    </row>
    <row r="71" spans="1:3" x14ac:dyDescent="0.3">
      <c r="A71" t="s">
        <v>98</v>
      </c>
      <c r="B71" t="s">
        <v>15</v>
      </c>
      <c r="C71">
        <v>287</v>
      </c>
    </row>
  </sheetData>
  <pageMargins left="0.511811024" right="0.511811024" top="0.78740157499999996" bottom="0.78740157499999996" header="0.31496062000000002" footer="0.31496062000000002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432EF-1CDE-419A-8E3B-14529EFF5E30}">
  <dimension ref="A1:I71"/>
  <sheetViews>
    <sheetView topLeftCell="A2" workbookViewId="0">
      <selection activeCell="H5" sqref="H5:I9"/>
    </sheetView>
  </sheetViews>
  <sheetFormatPr defaultRowHeight="14.4" x14ac:dyDescent="0.3"/>
  <cols>
    <col min="1" max="1" width="30.6640625" bestFit="1" customWidth="1"/>
    <col min="2" max="2" width="10.6640625" bestFit="1" customWidth="1"/>
    <col min="3" max="3" width="8" bestFit="1" customWidth="1"/>
    <col min="8" max="8" width="27.88671875" bestFit="1" customWidth="1"/>
    <col min="9" max="9" width="14.33203125" bestFit="1" customWidth="1"/>
  </cols>
  <sheetData>
    <row r="1" spans="1:9" x14ac:dyDescent="0.3">
      <c r="A1" t="s">
        <v>87</v>
      </c>
      <c r="B1" t="s">
        <v>101</v>
      </c>
      <c r="C1" t="s">
        <v>102</v>
      </c>
    </row>
    <row r="2" spans="1:9" x14ac:dyDescent="0.3">
      <c r="A2" t="s">
        <v>88</v>
      </c>
      <c r="B2" t="s">
        <v>2</v>
      </c>
      <c r="C2">
        <v>67313</v>
      </c>
    </row>
    <row r="3" spans="1:9" x14ac:dyDescent="0.3">
      <c r="A3" t="s">
        <v>88</v>
      </c>
      <c r="B3" t="s">
        <v>3</v>
      </c>
      <c r="C3">
        <v>68273</v>
      </c>
    </row>
    <row r="4" spans="1:9" x14ac:dyDescent="0.3">
      <c r="A4" t="s">
        <v>88</v>
      </c>
      <c r="B4" t="s">
        <v>4</v>
      </c>
      <c r="C4">
        <v>66802</v>
      </c>
      <c r="H4" s="1" t="s">
        <v>103</v>
      </c>
      <c r="I4" t="s">
        <v>105</v>
      </c>
    </row>
    <row r="5" spans="1:9" x14ac:dyDescent="0.3">
      <c r="A5" t="s">
        <v>88</v>
      </c>
      <c r="B5" t="s">
        <v>5</v>
      </c>
      <c r="C5">
        <v>66158</v>
      </c>
      <c r="H5" s="2" t="s">
        <v>90</v>
      </c>
      <c r="I5">
        <v>325996</v>
      </c>
    </row>
    <row r="6" spans="1:9" x14ac:dyDescent="0.3">
      <c r="A6" t="s">
        <v>88</v>
      </c>
      <c r="B6" t="s">
        <v>6</v>
      </c>
      <c r="C6">
        <v>64896</v>
      </c>
      <c r="H6" s="2" t="s">
        <v>88</v>
      </c>
      <c r="I6">
        <v>908326</v>
      </c>
    </row>
    <row r="7" spans="1:9" x14ac:dyDescent="0.3">
      <c r="A7" t="s">
        <v>88</v>
      </c>
      <c r="B7" t="s">
        <v>7</v>
      </c>
      <c r="C7">
        <v>65229</v>
      </c>
      <c r="H7" s="2" t="s">
        <v>89</v>
      </c>
      <c r="I7">
        <v>123375</v>
      </c>
    </row>
    <row r="8" spans="1:9" x14ac:dyDescent="0.3">
      <c r="A8" t="s">
        <v>88</v>
      </c>
      <c r="B8" t="s">
        <v>8</v>
      </c>
      <c r="C8">
        <v>67234</v>
      </c>
      <c r="H8" s="2" t="s">
        <v>92</v>
      </c>
      <c r="I8">
        <v>47603</v>
      </c>
    </row>
    <row r="9" spans="1:9" x14ac:dyDescent="0.3">
      <c r="A9" t="s">
        <v>88</v>
      </c>
      <c r="B9" t="s">
        <v>9</v>
      </c>
      <c r="C9">
        <v>64536</v>
      </c>
      <c r="H9" s="2" t="s">
        <v>91</v>
      </c>
      <c r="I9">
        <v>30218</v>
      </c>
    </row>
    <row r="10" spans="1:9" x14ac:dyDescent="0.3">
      <c r="A10" t="s">
        <v>88</v>
      </c>
      <c r="B10" t="s">
        <v>10</v>
      </c>
      <c r="C10">
        <v>63603</v>
      </c>
      <c r="H10" s="2" t="s">
        <v>104</v>
      </c>
      <c r="I10">
        <v>1435518</v>
      </c>
    </row>
    <row r="11" spans="1:9" x14ac:dyDescent="0.3">
      <c r="A11" t="s">
        <v>88</v>
      </c>
      <c r="B11" t="s">
        <v>11</v>
      </c>
      <c r="C11">
        <v>63646</v>
      </c>
    </row>
    <row r="12" spans="1:9" x14ac:dyDescent="0.3">
      <c r="A12" t="s">
        <v>88</v>
      </c>
      <c r="B12" t="s">
        <v>12</v>
      </c>
      <c r="C12">
        <v>59705</v>
      </c>
    </row>
    <row r="13" spans="1:9" x14ac:dyDescent="0.3">
      <c r="A13" t="s">
        <v>88</v>
      </c>
      <c r="B13" t="s">
        <v>13</v>
      </c>
      <c r="C13">
        <v>63023</v>
      </c>
    </row>
    <row r="14" spans="1:9" x14ac:dyDescent="0.3">
      <c r="A14" t="s">
        <v>88</v>
      </c>
      <c r="B14" t="s">
        <v>14</v>
      </c>
      <c r="C14">
        <v>64532</v>
      </c>
    </row>
    <row r="15" spans="1:9" x14ac:dyDescent="0.3">
      <c r="A15" t="s">
        <v>88</v>
      </c>
      <c r="B15" t="s">
        <v>15</v>
      </c>
      <c r="C15">
        <v>63376</v>
      </c>
    </row>
    <row r="16" spans="1:9" x14ac:dyDescent="0.3">
      <c r="A16" t="s">
        <v>89</v>
      </c>
      <c r="B16" t="s">
        <v>2</v>
      </c>
      <c r="C16">
        <v>5424</v>
      </c>
    </row>
    <row r="17" spans="1:3" x14ac:dyDescent="0.3">
      <c r="A17" t="s">
        <v>89</v>
      </c>
      <c r="B17" t="s">
        <v>3</v>
      </c>
      <c r="C17">
        <v>5954</v>
      </c>
    </row>
    <row r="18" spans="1:3" x14ac:dyDescent="0.3">
      <c r="A18" t="s">
        <v>89</v>
      </c>
      <c r="B18" t="s">
        <v>4</v>
      </c>
      <c r="C18">
        <v>6445</v>
      </c>
    </row>
    <row r="19" spans="1:3" x14ac:dyDescent="0.3">
      <c r="A19" t="s">
        <v>89</v>
      </c>
      <c r="B19" t="s">
        <v>5</v>
      </c>
      <c r="C19">
        <v>7330</v>
      </c>
    </row>
    <row r="20" spans="1:3" x14ac:dyDescent="0.3">
      <c r="A20" t="s">
        <v>89</v>
      </c>
      <c r="B20" t="s">
        <v>6</v>
      </c>
      <c r="C20">
        <v>7827</v>
      </c>
    </row>
    <row r="21" spans="1:3" x14ac:dyDescent="0.3">
      <c r="A21" t="s">
        <v>89</v>
      </c>
      <c r="B21" t="s">
        <v>7</v>
      </c>
      <c r="C21">
        <v>8564</v>
      </c>
    </row>
    <row r="22" spans="1:3" x14ac:dyDescent="0.3">
      <c r="A22" t="s">
        <v>89</v>
      </c>
      <c r="B22" t="s">
        <v>8</v>
      </c>
      <c r="C22">
        <v>9226</v>
      </c>
    </row>
    <row r="23" spans="1:3" x14ac:dyDescent="0.3">
      <c r="A23" t="s">
        <v>89</v>
      </c>
      <c r="B23" t="s">
        <v>9</v>
      </c>
      <c r="C23">
        <v>9790</v>
      </c>
    </row>
    <row r="24" spans="1:3" x14ac:dyDescent="0.3">
      <c r="A24" t="s">
        <v>89</v>
      </c>
      <c r="B24" t="s">
        <v>10</v>
      </c>
      <c r="C24">
        <v>9901</v>
      </c>
    </row>
    <row r="25" spans="1:3" x14ac:dyDescent="0.3">
      <c r="A25" t="s">
        <v>89</v>
      </c>
      <c r="B25" t="s">
        <v>11</v>
      </c>
      <c r="C25">
        <v>10199</v>
      </c>
    </row>
    <row r="26" spans="1:3" x14ac:dyDescent="0.3">
      <c r="A26" t="s">
        <v>89</v>
      </c>
      <c r="B26" t="s">
        <v>12</v>
      </c>
      <c r="C26">
        <v>9893</v>
      </c>
    </row>
    <row r="27" spans="1:3" x14ac:dyDescent="0.3">
      <c r="A27" t="s">
        <v>89</v>
      </c>
      <c r="B27" t="s">
        <v>13</v>
      </c>
      <c r="C27">
        <v>11058</v>
      </c>
    </row>
    <row r="28" spans="1:3" x14ac:dyDescent="0.3">
      <c r="A28" t="s">
        <v>89</v>
      </c>
      <c r="B28" t="s">
        <v>14</v>
      </c>
      <c r="C28">
        <v>10843</v>
      </c>
    </row>
    <row r="29" spans="1:3" x14ac:dyDescent="0.3">
      <c r="A29" t="s">
        <v>89</v>
      </c>
      <c r="B29" t="s">
        <v>15</v>
      </c>
      <c r="C29">
        <v>10921</v>
      </c>
    </row>
    <row r="30" spans="1:3" x14ac:dyDescent="0.3">
      <c r="A30" t="s">
        <v>90</v>
      </c>
      <c r="B30" t="s">
        <v>2</v>
      </c>
      <c r="C30">
        <v>21325</v>
      </c>
    </row>
    <row r="31" spans="1:3" x14ac:dyDescent="0.3">
      <c r="A31" t="s">
        <v>90</v>
      </c>
      <c r="B31" t="s">
        <v>3</v>
      </c>
      <c r="C31">
        <v>22045</v>
      </c>
    </row>
    <row r="32" spans="1:3" x14ac:dyDescent="0.3">
      <c r="A32" t="s">
        <v>90</v>
      </c>
      <c r="B32" t="s">
        <v>4</v>
      </c>
      <c r="C32">
        <v>21648</v>
      </c>
    </row>
    <row r="33" spans="1:3" x14ac:dyDescent="0.3">
      <c r="A33" t="s">
        <v>90</v>
      </c>
      <c r="B33" t="s">
        <v>5</v>
      </c>
      <c r="C33">
        <v>22263</v>
      </c>
    </row>
    <row r="34" spans="1:3" x14ac:dyDescent="0.3">
      <c r="A34" t="s">
        <v>90</v>
      </c>
      <c r="B34" t="s">
        <v>6</v>
      </c>
      <c r="C34">
        <v>22140</v>
      </c>
    </row>
    <row r="35" spans="1:3" x14ac:dyDescent="0.3">
      <c r="A35" t="s">
        <v>90</v>
      </c>
      <c r="B35" t="s">
        <v>7</v>
      </c>
      <c r="C35">
        <v>22848</v>
      </c>
    </row>
    <row r="36" spans="1:3" x14ac:dyDescent="0.3">
      <c r="A36" t="s">
        <v>90</v>
      </c>
      <c r="B36" t="s">
        <v>8</v>
      </c>
      <c r="C36">
        <v>23432</v>
      </c>
    </row>
    <row r="37" spans="1:3" x14ac:dyDescent="0.3">
      <c r="A37" t="s">
        <v>90</v>
      </c>
      <c r="B37" t="s">
        <v>9</v>
      </c>
      <c r="C37">
        <v>22609</v>
      </c>
    </row>
    <row r="38" spans="1:3" x14ac:dyDescent="0.3">
      <c r="A38" t="s">
        <v>90</v>
      </c>
      <c r="B38" t="s">
        <v>10</v>
      </c>
      <c r="C38">
        <v>22877</v>
      </c>
    </row>
    <row r="39" spans="1:3" x14ac:dyDescent="0.3">
      <c r="A39" t="s">
        <v>90</v>
      </c>
      <c r="B39" t="s">
        <v>11</v>
      </c>
      <c r="C39">
        <v>22765</v>
      </c>
    </row>
    <row r="40" spans="1:3" x14ac:dyDescent="0.3">
      <c r="A40" t="s">
        <v>90</v>
      </c>
      <c r="B40" t="s">
        <v>12</v>
      </c>
      <c r="C40">
        <v>24282</v>
      </c>
    </row>
    <row r="41" spans="1:3" x14ac:dyDescent="0.3">
      <c r="A41" t="s">
        <v>90</v>
      </c>
      <c r="B41" t="s">
        <v>13</v>
      </c>
      <c r="C41">
        <v>25303</v>
      </c>
    </row>
    <row r="42" spans="1:3" x14ac:dyDescent="0.3">
      <c r="A42" t="s">
        <v>90</v>
      </c>
      <c r="B42" t="s">
        <v>14</v>
      </c>
      <c r="C42">
        <v>26652</v>
      </c>
    </row>
    <row r="43" spans="1:3" x14ac:dyDescent="0.3">
      <c r="A43" t="s">
        <v>90</v>
      </c>
      <c r="B43" t="s">
        <v>15</v>
      </c>
      <c r="C43">
        <v>25807</v>
      </c>
    </row>
    <row r="44" spans="1:3" x14ac:dyDescent="0.3">
      <c r="A44" t="s">
        <v>91</v>
      </c>
      <c r="B44" t="s">
        <v>2</v>
      </c>
      <c r="C44">
        <v>2427</v>
      </c>
    </row>
    <row r="45" spans="1:3" x14ac:dyDescent="0.3">
      <c r="A45" t="s">
        <v>91</v>
      </c>
      <c r="B45" t="s">
        <v>3</v>
      </c>
      <c r="C45">
        <v>2424</v>
      </c>
    </row>
    <row r="46" spans="1:3" x14ac:dyDescent="0.3">
      <c r="A46" t="s">
        <v>91</v>
      </c>
      <c r="B46" t="s">
        <v>4</v>
      </c>
      <c r="C46">
        <v>2298</v>
      </c>
    </row>
    <row r="47" spans="1:3" x14ac:dyDescent="0.3">
      <c r="A47" t="s">
        <v>91</v>
      </c>
      <c r="B47" t="s">
        <v>5</v>
      </c>
      <c r="C47">
        <v>2370</v>
      </c>
    </row>
    <row r="48" spans="1:3" x14ac:dyDescent="0.3">
      <c r="A48" t="s">
        <v>91</v>
      </c>
      <c r="B48" t="s">
        <v>6</v>
      </c>
      <c r="C48">
        <v>2214</v>
      </c>
    </row>
    <row r="49" spans="1:3" x14ac:dyDescent="0.3">
      <c r="A49" t="s">
        <v>91</v>
      </c>
      <c r="B49" t="s">
        <v>7</v>
      </c>
      <c r="C49">
        <v>2238</v>
      </c>
    </row>
    <row r="50" spans="1:3" x14ac:dyDescent="0.3">
      <c r="A50" t="s">
        <v>91</v>
      </c>
      <c r="B50" t="s">
        <v>8</v>
      </c>
      <c r="C50">
        <v>2219</v>
      </c>
    </row>
    <row r="51" spans="1:3" x14ac:dyDescent="0.3">
      <c r="A51" t="s">
        <v>91</v>
      </c>
      <c r="B51" t="s">
        <v>9</v>
      </c>
      <c r="C51">
        <v>2010</v>
      </c>
    </row>
    <row r="52" spans="1:3" x14ac:dyDescent="0.3">
      <c r="A52" t="s">
        <v>91</v>
      </c>
      <c r="B52" t="s">
        <v>10</v>
      </c>
      <c r="C52">
        <v>1968</v>
      </c>
    </row>
    <row r="53" spans="1:3" x14ac:dyDescent="0.3">
      <c r="A53" t="s">
        <v>91</v>
      </c>
      <c r="B53" t="s">
        <v>11</v>
      </c>
      <c r="C53">
        <v>2031</v>
      </c>
    </row>
    <row r="54" spans="1:3" x14ac:dyDescent="0.3">
      <c r="A54" t="s">
        <v>91</v>
      </c>
      <c r="B54" t="s">
        <v>12</v>
      </c>
      <c r="C54">
        <v>1857</v>
      </c>
    </row>
    <row r="55" spans="1:3" x14ac:dyDescent="0.3">
      <c r="A55" t="s">
        <v>91</v>
      </c>
      <c r="B55" t="s">
        <v>13</v>
      </c>
      <c r="C55">
        <v>1912</v>
      </c>
    </row>
    <row r="56" spans="1:3" x14ac:dyDescent="0.3">
      <c r="A56" t="s">
        <v>91</v>
      </c>
      <c r="B56" t="s">
        <v>14</v>
      </c>
      <c r="C56">
        <v>2159</v>
      </c>
    </row>
    <row r="57" spans="1:3" x14ac:dyDescent="0.3">
      <c r="A57" t="s">
        <v>91</v>
      </c>
      <c r="B57" t="s">
        <v>15</v>
      </c>
      <c r="C57">
        <v>2091</v>
      </c>
    </row>
    <row r="58" spans="1:3" x14ac:dyDescent="0.3">
      <c r="A58" t="s">
        <v>92</v>
      </c>
      <c r="B58" t="s">
        <v>2</v>
      </c>
      <c r="C58">
        <v>3134</v>
      </c>
    </row>
    <row r="59" spans="1:3" x14ac:dyDescent="0.3">
      <c r="A59" t="s">
        <v>92</v>
      </c>
      <c r="B59" t="s">
        <v>3</v>
      </c>
      <c r="C59">
        <v>3237</v>
      </c>
    </row>
    <row r="60" spans="1:3" x14ac:dyDescent="0.3">
      <c r="A60" t="s">
        <v>92</v>
      </c>
      <c r="B60" t="s">
        <v>4</v>
      </c>
      <c r="C60">
        <v>3253</v>
      </c>
    </row>
    <row r="61" spans="1:3" x14ac:dyDescent="0.3">
      <c r="A61" t="s">
        <v>92</v>
      </c>
      <c r="B61" t="s">
        <v>5</v>
      </c>
      <c r="C61">
        <v>3231</v>
      </c>
    </row>
    <row r="62" spans="1:3" x14ac:dyDescent="0.3">
      <c r="A62" t="s">
        <v>92</v>
      </c>
      <c r="B62" t="s">
        <v>6</v>
      </c>
      <c r="C62">
        <v>3521</v>
      </c>
    </row>
    <row r="63" spans="1:3" x14ac:dyDescent="0.3">
      <c r="A63" t="s">
        <v>92</v>
      </c>
      <c r="B63" t="s">
        <v>7</v>
      </c>
      <c r="C63">
        <v>3252</v>
      </c>
    </row>
    <row r="64" spans="1:3" x14ac:dyDescent="0.3">
      <c r="A64" t="s">
        <v>92</v>
      </c>
      <c r="B64" t="s">
        <v>8</v>
      </c>
      <c r="C64">
        <v>3511</v>
      </c>
    </row>
    <row r="65" spans="1:3" x14ac:dyDescent="0.3">
      <c r="A65" t="s">
        <v>92</v>
      </c>
      <c r="B65" t="s">
        <v>9</v>
      </c>
      <c r="C65">
        <v>3341</v>
      </c>
    </row>
    <row r="66" spans="1:3" x14ac:dyDescent="0.3">
      <c r="A66" t="s">
        <v>92</v>
      </c>
      <c r="B66" t="s">
        <v>10</v>
      </c>
      <c r="C66">
        <v>3493</v>
      </c>
    </row>
    <row r="67" spans="1:3" x14ac:dyDescent="0.3">
      <c r="A67" t="s">
        <v>92</v>
      </c>
      <c r="B67" t="s">
        <v>11</v>
      </c>
      <c r="C67">
        <v>3481</v>
      </c>
    </row>
    <row r="68" spans="1:3" x14ac:dyDescent="0.3">
      <c r="A68" t="s">
        <v>92</v>
      </c>
      <c r="B68" t="s">
        <v>12</v>
      </c>
      <c r="C68">
        <v>3009</v>
      </c>
    </row>
    <row r="69" spans="1:3" x14ac:dyDescent="0.3">
      <c r="A69" t="s">
        <v>92</v>
      </c>
      <c r="B69" t="s">
        <v>13</v>
      </c>
      <c r="C69">
        <v>3293</v>
      </c>
    </row>
    <row r="70" spans="1:3" x14ac:dyDescent="0.3">
      <c r="A70" t="s">
        <v>92</v>
      </c>
      <c r="B70" t="s">
        <v>14</v>
      </c>
      <c r="C70">
        <v>3899</v>
      </c>
    </row>
    <row r="71" spans="1:3" x14ac:dyDescent="0.3">
      <c r="A71" t="s">
        <v>92</v>
      </c>
      <c r="B71" t="s">
        <v>15</v>
      </c>
      <c r="C71">
        <v>3948</v>
      </c>
    </row>
  </sheetData>
  <pageMargins left="0.511811024" right="0.511811024" top="0.78740157499999996" bottom="0.78740157499999996" header="0.31496062000000002" footer="0.31496062000000002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06F64-0F74-4EBB-BF02-67569EAC47FA}">
  <dimension ref="A1:E11"/>
  <sheetViews>
    <sheetView workbookViewId="0">
      <selection activeCell="E2" sqref="E2:E11"/>
    </sheetView>
  </sheetViews>
  <sheetFormatPr defaultRowHeight="14.4" x14ac:dyDescent="0.3"/>
  <cols>
    <col min="1" max="1" width="13.33203125" bestFit="1" customWidth="1"/>
    <col min="2" max="2" width="7.88671875" bestFit="1" customWidth="1"/>
    <col min="3" max="3" width="7.109375" bestFit="1" customWidth="1"/>
  </cols>
  <sheetData>
    <row r="1" spans="1:5" x14ac:dyDescent="0.3">
      <c r="A1" t="s">
        <v>74</v>
      </c>
      <c r="B1" t="s">
        <v>85</v>
      </c>
      <c r="C1" t="s">
        <v>86</v>
      </c>
    </row>
    <row r="2" spans="1:5" x14ac:dyDescent="0.3">
      <c r="A2" t="s">
        <v>75</v>
      </c>
      <c r="B2">
        <v>5418</v>
      </c>
      <c r="C2">
        <v>3128</v>
      </c>
      <c r="E2" s="8">
        <f>cv_faixaetaria_sexo_15a64[[#This Row],[Masc]]/(cv_faixaetaria_sexo_15a64[[#This Row],[Masc]]+cv_faixaetaria_sexo_15a64[[#This Row],[Fem]])</f>
        <v>0.63398080973554882</v>
      </c>
    </row>
    <row r="3" spans="1:5" x14ac:dyDescent="0.3">
      <c r="A3" t="s">
        <v>76</v>
      </c>
      <c r="B3">
        <v>8853</v>
      </c>
      <c r="C3">
        <v>5135</v>
      </c>
      <c r="E3" s="8">
        <f>cv_faixaetaria_sexo_15a64[[#This Row],[Masc]]/(cv_faixaetaria_sexo_15a64[[#This Row],[Masc]]+cv_faixaetaria_sexo_15a64[[#This Row],[Fem]])</f>
        <v>0.63289962825278812</v>
      </c>
    </row>
    <row r="4" spans="1:5" x14ac:dyDescent="0.3">
      <c r="A4" t="s">
        <v>77</v>
      </c>
      <c r="B4">
        <v>13538</v>
      </c>
      <c r="C4">
        <v>8017</v>
      </c>
      <c r="E4" s="8">
        <f>cv_faixaetaria_sexo_15a64[[#This Row],[Masc]]/(cv_faixaetaria_sexo_15a64[[#This Row],[Masc]]+cv_faixaetaria_sexo_15a64[[#This Row],[Fem]])</f>
        <v>0.62806773370447688</v>
      </c>
    </row>
    <row r="5" spans="1:5" x14ac:dyDescent="0.3">
      <c r="A5" t="s">
        <v>78</v>
      </c>
      <c r="B5">
        <v>22585</v>
      </c>
      <c r="C5">
        <v>13756</v>
      </c>
      <c r="E5" s="8">
        <f>cv_faixaetaria_sexo_15a64[[#This Row],[Masc]]/(cv_faixaetaria_sexo_15a64[[#This Row],[Masc]]+cv_faixaetaria_sexo_15a64[[#This Row],[Fem]])</f>
        <v>0.62147436779395171</v>
      </c>
    </row>
    <row r="6" spans="1:5" x14ac:dyDescent="0.3">
      <c r="A6" t="s">
        <v>79</v>
      </c>
      <c r="B6">
        <v>37877</v>
      </c>
      <c r="C6">
        <v>24292</v>
      </c>
      <c r="E6" s="8">
        <f>cv_faixaetaria_sexo_15a64[[#This Row],[Masc]]/(cv_faixaetaria_sexo_15a64[[#This Row],[Masc]]+cv_faixaetaria_sexo_15a64[[#This Row],[Fem]])</f>
        <v>0.60925863372420341</v>
      </c>
    </row>
    <row r="7" spans="1:5" x14ac:dyDescent="0.3">
      <c r="A7" t="s">
        <v>80</v>
      </c>
      <c r="B7">
        <v>63170</v>
      </c>
      <c r="C7">
        <v>41639</v>
      </c>
      <c r="E7" s="8">
        <f>cv_faixaetaria_sexo_15a64[[#This Row],[Masc]]/(cv_faixaetaria_sexo_15a64[[#This Row],[Masc]]+cv_faixaetaria_sexo_15a64[[#This Row],[Fem]])</f>
        <v>0.60271541566086884</v>
      </c>
    </row>
    <row r="8" spans="1:5" x14ac:dyDescent="0.3">
      <c r="A8" t="s">
        <v>81</v>
      </c>
      <c r="B8">
        <v>100479</v>
      </c>
      <c r="C8">
        <v>64874</v>
      </c>
      <c r="E8" s="8">
        <f>cv_faixaetaria_sexo_15a64[[#This Row],[Masc]]/(cv_faixaetaria_sexo_15a64[[#This Row],[Masc]]+cv_faixaetaria_sexo_15a64[[#This Row],[Fem]])</f>
        <v>0.60766360453091262</v>
      </c>
    </row>
    <row r="9" spans="1:5" x14ac:dyDescent="0.3">
      <c r="A9" t="s">
        <v>82</v>
      </c>
      <c r="B9">
        <v>154255</v>
      </c>
      <c r="C9">
        <v>91499</v>
      </c>
      <c r="E9" s="8">
        <f>cv_faixaetaria_sexo_15a64[[#This Row],[Masc]]/(cv_faixaetaria_sexo_15a64[[#This Row],[Masc]]+cv_faixaetaria_sexo_15a64[[#This Row],[Fem]])</f>
        <v>0.62768052605450975</v>
      </c>
    </row>
    <row r="10" spans="1:5" x14ac:dyDescent="0.3">
      <c r="A10" t="s">
        <v>83</v>
      </c>
      <c r="B10">
        <v>213284</v>
      </c>
      <c r="C10">
        <v>124899</v>
      </c>
      <c r="E10" s="8">
        <f>cv_faixaetaria_sexo_15a64[[#This Row],[Masc]]/(cv_faixaetaria_sexo_15a64[[#This Row],[Masc]]+cv_faixaetaria_sexo_15a64[[#This Row],[Fem]])</f>
        <v>0.63067629064737141</v>
      </c>
    </row>
    <row r="11" spans="1:5" x14ac:dyDescent="0.3">
      <c r="A11" t="s">
        <v>84</v>
      </c>
      <c r="B11">
        <v>271389</v>
      </c>
      <c r="C11">
        <v>168503</v>
      </c>
      <c r="E11" s="8">
        <f>cv_faixaetaria_sexo_15a64[[#This Row],[Masc]]/(cv_faixaetaria_sexo_15a64[[#This Row],[Masc]]+cv_faixaetaria_sexo_15a64[[#This Row],[Fem]])</f>
        <v>0.61694461367790276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D8145-3592-4637-82C9-0358839BC598}">
  <dimension ref="A1:O141"/>
  <sheetViews>
    <sheetView topLeftCell="A2" workbookViewId="0">
      <selection activeCell="N8" sqref="N8:O17"/>
    </sheetView>
  </sheetViews>
  <sheetFormatPr defaultRowHeight="14.4" x14ac:dyDescent="0.3"/>
  <cols>
    <col min="1" max="1" width="13.33203125" bestFit="1" customWidth="1"/>
    <col min="2" max="2" width="10.6640625" bestFit="1" customWidth="1"/>
    <col min="3" max="3" width="8" bestFit="1" customWidth="1"/>
    <col min="14" max="14" width="18" bestFit="1" customWidth="1"/>
    <col min="15" max="15" width="15" bestFit="1" customWidth="1"/>
  </cols>
  <sheetData>
    <row r="1" spans="1:15" x14ac:dyDescent="0.3">
      <c r="A1" t="s">
        <v>74</v>
      </c>
      <c r="B1" t="s">
        <v>101</v>
      </c>
      <c r="C1" t="s">
        <v>102</v>
      </c>
    </row>
    <row r="2" spans="1:15" x14ac:dyDescent="0.3">
      <c r="A2" t="s">
        <v>75</v>
      </c>
      <c r="B2" t="s">
        <v>2</v>
      </c>
      <c r="C2">
        <v>613</v>
      </c>
    </row>
    <row r="3" spans="1:15" x14ac:dyDescent="0.3">
      <c r="A3" t="s">
        <v>75</v>
      </c>
      <c r="B3" t="s">
        <v>3</v>
      </c>
      <c r="C3">
        <v>627</v>
      </c>
    </row>
    <row r="4" spans="1:15" x14ac:dyDescent="0.3">
      <c r="A4" t="s">
        <v>75</v>
      </c>
      <c r="B4" t="s">
        <v>4</v>
      </c>
      <c r="C4">
        <v>713</v>
      </c>
    </row>
    <row r="5" spans="1:15" x14ac:dyDescent="0.3">
      <c r="A5" t="s">
        <v>75</v>
      </c>
      <c r="B5" t="s">
        <v>5</v>
      </c>
      <c r="C5">
        <v>701</v>
      </c>
    </row>
    <row r="6" spans="1:15" x14ac:dyDescent="0.3">
      <c r="A6" t="s">
        <v>75</v>
      </c>
      <c r="B6" t="s">
        <v>6</v>
      </c>
      <c r="C6">
        <v>734</v>
      </c>
    </row>
    <row r="7" spans="1:15" x14ac:dyDescent="0.3">
      <c r="A7" t="s">
        <v>75</v>
      </c>
      <c r="B7" t="s">
        <v>7</v>
      </c>
      <c r="C7">
        <v>730</v>
      </c>
      <c r="N7" s="1" t="s">
        <v>103</v>
      </c>
      <c r="O7" t="s">
        <v>105</v>
      </c>
    </row>
    <row r="8" spans="1:15" x14ac:dyDescent="0.3">
      <c r="A8" t="s">
        <v>75</v>
      </c>
      <c r="B8" t="s">
        <v>8</v>
      </c>
      <c r="C8">
        <v>684</v>
      </c>
      <c r="N8" s="2" t="s">
        <v>75</v>
      </c>
      <c r="O8">
        <v>8546</v>
      </c>
    </row>
    <row r="9" spans="1:15" x14ac:dyDescent="0.3">
      <c r="A9" t="s">
        <v>75</v>
      </c>
      <c r="B9" t="s">
        <v>9</v>
      </c>
      <c r="C9">
        <v>596</v>
      </c>
      <c r="N9" s="2" t="s">
        <v>76</v>
      </c>
      <c r="O9">
        <v>13989</v>
      </c>
    </row>
    <row r="10" spans="1:15" x14ac:dyDescent="0.3">
      <c r="A10" t="s">
        <v>75</v>
      </c>
      <c r="B10" t="s">
        <v>10</v>
      </c>
      <c r="C10">
        <v>552</v>
      </c>
      <c r="N10" s="2" t="s">
        <v>77</v>
      </c>
      <c r="O10">
        <v>21556</v>
      </c>
    </row>
    <row r="11" spans="1:15" x14ac:dyDescent="0.3">
      <c r="A11" t="s">
        <v>75</v>
      </c>
      <c r="B11" t="s">
        <v>11</v>
      </c>
      <c r="C11">
        <v>540</v>
      </c>
      <c r="N11" s="2" t="s">
        <v>78</v>
      </c>
      <c r="O11">
        <v>36346</v>
      </c>
    </row>
    <row r="12" spans="1:15" x14ac:dyDescent="0.3">
      <c r="A12" t="s">
        <v>75</v>
      </c>
      <c r="B12" t="s">
        <v>12</v>
      </c>
      <c r="C12">
        <v>549</v>
      </c>
      <c r="N12" s="2" t="s">
        <v>79</v>
      </c>
      <c r="O12">
        <v>62175</v>
      </c>
    </row>
    <row r="13" spans="1:15" x14ac:dyDescent="0.3">
      <c r="A13" t="s">
        <v>75</v>
      </c>
      <c r="B13" t="s">
        <v>13</v>
      </c>
      <c r="C13">
        <v>499</v>
      </c>
      <c r="N13" s="2" t="s">
        <v>80</v>
      </c>
      <c r="O13">
        <v>104817</v>
      </c>
    </row>
    <row r="14" spans="1:15" x14ac:dyDescent="0.3">
      <c r="A14" t="s">
        <v>75</v>
      </c>
      <c r="B14" t="s">
        <v>14</v>
      </c>
      <c r="C14">
        <v>516</v>
      </c>
      <c r="N14" s="2" t="s">
        <v>81</v>
      </c>
      <c r="O14">
        <v>165361</v>
      </c>
    </row>
    <row r="15" spans="1:15" x14ac:dyDescent="0.3">
      <c r="A15" t="s">
        <v>75</v>
      </c>
      <c r="B15" t="s">
        <v>15</v>
      </c>
      <c r="C15">
        <v>492</v>
      </c>
      <c r="N15" s="2" t="s">
        <v>82</v>
      </c>
      <c r="O15">
        <v>245778</v>
      </c>
    </row>
    <row r="16" spans="1:15" x14ac:dyDescent="0.3">
      <c r="A16" t="s">
        <v>76</v>
      </c>
      <c r="B16" t="s">
        <v>2</v>
      </c>
      <c r="C16">
        <v>975</v>
      </c>
      <c r="N16" s="2" t="s">
        <v>83</v>
      </c>
      <c r="O16">
        <v>338204</v>
      </c>
    </row>
    <row r="17" spans="1:15" x14ac:dyDescent="0.3">
      <c r="A17" t="s">
        <v>76</v>
      </c>
      <c r="B17" t="s">
        <v>3</v>
      </c>
      <c r="C17">
        <v>1017</v>
      </c>
      <c r="N17" s="2" t="s">
        <v>84</v>
      </c>
      <c r="O17">
        <v>439919</v>
      </c>
    </row>
    <row r="18" spans="1:15" x14ac:dyDescent="0.3">
      <c r="A18" t="s">
        <v>76</v>
      </c>
      <c r="B18" t="s">
        <v>4</v>
      </c>
      <c r="C18">
        <v>1004</v>
      </c>
      <c r="N18" s="2" t="s">
        <v>104</v>
      </c>
      <c r="O18">
        <v>1436691</v>
      </c>
    </row>
    <row r="19" spans="1:15" x14ac:dyDescent="0.3">
      <c r="A19" t="s">
        <v>76</v>
      </c>
      <c r="B19" t="s">
        <v>5</v>
      </c>
      <c r="C19">
        <v>986</v>
      </c>
    </row>
    <row r="20" spans="1:15" x14ac:dyDescent="0.3">
      <c r="A20" t="s">
        <v>76</v>
      </c>
      <c r="B20" t="s">
        <v>6</v>
      </c>
      <c r="C20">
        <v>1008</v>
      </c>
    </row>
    <row r="21" spans="1:15" x14ac:dyDescent="0.3">
      <c r="A21" t="s">
        <v>76</v>
      </c>
      <c r="B21" t="s">
        <v>7</v>
      </c>
      <c r="C21">
        <v>1046</v>
      </c>
    </row>
    <row r="22" spans="1:15" x14ac:dyDescent="0.3">
      <c r="A22" t="s">
        <v>76</v>
      </c>
      <c r="B22" t="s">
        <v>8</v>
      </c>
      <c r="C22">
        <v>1045</v>
      </c>
    </row>
    <row r="23" spans="1:15" x14ac:dyDescent="0.3">
      <c r="A23" t="s">
        <v>76</v>
      </c>
      <c r="B23" t="s">
        <v>9</v>
      </c>
      <c r="C23">
        <v>1043</v>
      </c>
    </row>
    <row r="24" spans="1:15" x14ac:dyDescent="0.3">
      <c r="A24" t="s">
        <v>76</v>
      </c>
      <c r="B24" t="s">
        <v>10</v>
      </c>
      <c r="C24">
        <v>955</v>
      </c>
    </row>
    <row r="25" spans="1:15" x14ac:dyDescent="0.3">
      <c r="A25" t="s">
        <v>76</v>
      </c>
      <c r="B25" t="s">
        <v>11</v>
      </c>
      <c r="C25">
        <v>1018</v>
      </c>
    </row>
    <row r="26" spans="1:15" x14ac:dyDescent="0.3">
      <c r="A26" t="s">
        <v>76</v>
      </c>
      <c r="B26" t="s">
        <v>12</v>
      </c>
      <c r="C26">
        <v>964</v>
      </c>
    </row>
    <row r="27" spans="1:15" x14ac:dyDescent="0.3">
      <c r="A27" t="s">
        <v>76</v>
      </c>
      <c r="B27" t="s">
        <v>13</v>
      </c>
      <c r="C27">
        <v>1025</v>
      </c>
    </row>
    <row r="28" spans="1:15" x14ac:dyDescent="0.3">
      <c r="A28" t="s">
        <v>76</v>
      </c>
      <c r="B28" t="s">
        <v>14</v>
      </c>
      <c r="C28">
        <v>1034</v>
      </c>
    </row>
    <row r="29" spans="1:15" x14ac:dyDescent="0.3">
      <c r="A29" t="s">
        <v>76</v>
      </c>
      <c r="B29" t="s">
        <v>15</v>
      </c>
      <c r="C29">
        <v>869</v>
      </c>
    </row>
    <row r="30" spans="1:15" x14ac:dyDescent="0.3">
      <c r="A30" t="s">
        <v>77</v>
      </c>
      <c r="B30" t="s">
        <v>2</v>
      </c>
      <c r="C30">
        <v>1629</v>
      </c>
    </row>
    <row r="31" spans="1:15" x14ac:dyDescent="0.3">
      <c r="A31" t="s">
        <v>77</v>
      </c>
      <c r="B31" t="s">
        <v>3</v>
      </c>
      <c r="C31">
        <v>1592</v>
      </c>
    </row>
    <row r="32" spans="1:15" x14ac:dyDescent="0.3">
      <c r="A32" t="s">
        <v>77</v>
      </c>
      <c r="B32" t="s">
        <v>4</v>
      </c>
      <c r="C32">
        <v>1569</v>
      </c>
    </row>
    <row r="33" spans="1:3" x14ac:dyDescent="0.3">
      <c r="A33" t="s">
        <v>77</v>
      </c>
      <c r="B33" t="s">
        <v>5</v>
      </c>
      <c r="C33">
        <v>1527</v>
      </c>
    </row>
    <row r="34" spans="1:3" x14ac:dyDescent="0.3">
      <c r="A34" t="s">
        <v>77</v>
      </c>
      <c r="B34" t="s">
        <v>6</v>
      </c>
      <c r="C34">
        <v>1590</v>
      </c>
    </row>
    <row r="35" spans="1:3" x14ac:dyDescent="0.3">
      <c r="A35" t="s">
        <v>77</v>
      </c>
      <c r="B35" t="s">
        <v>7</v>
      </c>
      <c r="C35">
        <v>1596</v>
      </c>
    </row>
    <row r="36" spans="1:3" x14ac:dyDescent="0.3">
      <c r="A36" t="s">
        <v>77</v>
      </c>
      <c r="B36" t="s">
        <v>8</v>
      </c>
      <c r="C36">
        <v>1598</v>
      </c>
    </row>
    <row r="37" spans="1:3" x14ac:dyDescent="0.3">
      <c r="A37" t="s">
        <v>77</v>
      </c>
      <c r="B37" t="s">
        <v>9</v>
      </c>
      <c r="C37">
        <v>1466</v>
      </c>
    </row>
    <row r="38" spans="1:3" x14ac:dyDescent="0.3">
      <c r="A38" t="s">
        <v>77</v>
      </c>
      <c r="B38" t="s">
        <v>10</v>
      </c>
      <c r="C38">
        <v>1348</v>
      </c>
    </row>
    <row r="39" spans="1:3" x14ac:dyDescent="0.3">
      <c r="A39" t="s">
        <v>77</v>
      </c>
      <c r="B39" t="s">
        <v>11</v>
      </c>
      <c r="C39">
        <v>1443</v>
      </c>
    </row>
    <row r="40" spans="1:3" x14ac:dyDescent="0.3">
      <c r="A40" t="s">
        <v>77</v>
      </c>
      <c r="B40" t="s">
        <v>12</v>
      </c>
      <c r="C40">
        <v>1413</v>
      </c>
    </row>
    <row r="41" spans="1:3" x14ac:dyDescent="0.3">
      <c r="A41" t="s">
        <v>77</v>
      </c>
      <c r="B41" t="s">
        <v>13</v>
      </c>
      <c r="C41">
        <v>1543</v>
      </c>
    </row>
    <row r="42" spans="1:3" x14ac:dyDescent="0.3">
      <c r="A42" t="s">
        <v>77</v>
      </c>
      <c r="B42" t="s">
        <v>14</v>
      </c>
      <c r="C42">
        <v>1624</v>
      </c>
    </row>
    <row r="43" spans="1:3" x14ac:dyDescent="0.3">
      <c r="A43" t="s">
        <v>77</v>
      </c>
      <c r="B43" t="s">
        <v>15</v>
      </c>
      <c r="C43">
        <v>1618</v>
      </c>
    </row>
    <row r="44" spans="1:3" x14ac:dyDescent="0.3">
      <c r="A44" t="s">
        <v>78</v>
      </c>
      <c r="B44" t="s">
        <v>2</v>
      </c>
      <c r="C44">
        <v>2627</v>
      </c>
    </row>
    <row r="45" spans="1:3" x14ac:dyDescent="0.3">
      <c r="A45" t="s">
        <v>78</v>
      </c>
      <c r="B45" t="s">
        <v>3</v>
      </c>
      <c r="C45">
        <v>2604</v>
      </c>
    </row>
    <row r="46" spans="1:3" x14ac:dyDescent="0.3">
      <c r="A46" t="s">
        <v>78</v>
      </c>
      <c r="B46" t="s">
        <v>4</v>
      </c>
      <c r="C46">
        <v>2725</v>
      </c>
    </row>
    <row r="47" spans="1:3" x14ac:dyDescent="0.3">
      <c r="A47" t="s">
        <v>78</v>
      </c>
      <c r="B47" t="s">
        <v>5</v>
      </c>
      <c r="C47">
        <v>2721</v>
      </c>
    </row>
    <row r="48" spans="1:3" x14ac:dyDescent="0.3">
      <c r="A48" t="s">
        <v>78</v>
      </c>
      <c r="B48" t="s">
        <v>6</v>
      </c>
      <c r="C48">
        <v>2738</v>
      </c>
    </row>
    <row r="49" spans="1:3" x14ac:dyDescent="0.3">
      <c r="A49" t="s">
        <v>78</v>
      </c>
      <c r="B49" t="s">
        <v>7</v>
      </c>
      <c r="C49">
        <v>2811</v>
      </c>
    </row>
    <row r="50" spans="1:3" x14ac:dyDescent="0.3">
      <c r="A50" t="s">
        <v>78</v>
      </c>
      <c r="B50" t="s">
        <v>8</v>
      </c>
      <c r="C50">
        <v>2769</v>
      </c>
    </row>
    <row r="51" spans="1:3" x14ac:dyDescent="0.3">
      <c r="A51" t="s">
        <v>78</v>
      </c>
      <c r="B51" t="s">
        <v>9</v>
      </c>
      <c r="C51">
        <v>2439</v>
      </c>
    </row>
    <row r="52" spans="1:3" x14ac:dyDescent="0.3">
      <c r="A52" t="s">
        <v>78</v>
      </c>
      <c r="B52" t="s">
        <v>10</v>
      </c>
      <c r="C52">
        <v>2471</v>
      </c>
    </row>
    <row r="53" spans="1:3" x14ac:dyDescent="0.3">
      <c r="A53" t="s">
        <v>78</v>
      </c>
      <c r="B53" t="s">
        <v>11</v>
      </c>
      <c r="C53">
        <v>2417</v>
      </c>
    </row>
    <row r="54" spans="1:3" x14ac:dyDescent="0.3">
      <c r="A54" t="s">
        <v>78</v>
      </c>
      <c r="B54" t="s">
        <v>12</v>
      </c>
      <c r="C54">
        <v>2340</v>
      </c>
    </row>
    <row r="55" spans="1:3" x14ac:dyDescent="0.3">
      <c r="A55" t="s">
        <v>78</v>
      </c>
      <c r="B55" t="s">
        <v>13</v>
      </c>
      <c r="C55">
        <v>2468</v>
      </c>
    </row>
    <row r="56" spans="1:3" x14ac:dyDescent="0.3">
      <c r="A56" t="s">
        <v>78</v>
      </c>
      <c r="B56" t="s">
        <v>14</v>
      </c>
      <c r="C56">
        <v>2558</v>
      </c>
    </row>
    <row r="57" spans="1:3" x14ac:dyDescent="0.3">
      <c r="A57" t="s">
        <v>78</v>
      </c>
      <c r="B57" t="s">
        <v>15</v>
      </c>
      <c r="C57">
        <v>2658</v>
      </c>
    </row>
    <row r="58" spans="1:3" x14ac:dyDescent="0.3">
      <c r="A58" t="s">
        <v>79</v>
      </c>
      <c r="B58" t="s">
        <v>2</v>
      </c>
      <c r="C58">
        <v>4381</v>
      </c>
    </row>
    <row r="59" spans="1:3" x14ac:dyDescent="0.3">
      <c r="A59" t="s">
        <v>79</v>
      </c>
      <c r="B59" t="s">
        <v>3</v>
      </c>
      <c r="C59">
        <v>4370</v>
      </c>
    </row>
    <row r="60" spans="1:3" x14ac:dyDescent="0.3">
      <c r="A60" t="s">
        <v>79</v>
      </c>
      <c r="B60" t="s">
        <v>4</v>
      </c>
      <c r="C60">
        <v>4401</v>
      </c>
    </row>
    <row r="61" spans="1:3" x14ac:dyDescent="0.3">
      <c r="A61" t="s">
        <v>79</v>
      </c>
      <c r="B61" t="s">
        <v>5</v>
      </c>
      <c r="C61">
        <v>4470</v>
      </c>
    </row>
    <row r="62" spans="1:3" x14ac:dyDescent="0.3">
      <c r="A62" t="s">
        <v>79</v>
      </c>
      <c r="B62" t="s">
        <v>6</v>
      </c>
      <c r="C62">
        <v>4433</v>
      </c>
    </row>
    <row r="63" spans="1:3" x14ac:dyDescent="0.3">
      <c r="A63" t="s">
        <v>79</v>
      </c>
      <c r="B63" t="s">
        <v>7</v>
      </c>
      <c r="C63">
        <v>4583</v>
      </c>
    </row>
    <row r="64" spans="1:3" x14ac:dyDescent="0.3">
      <c r="A64" t="s">
        <v>79</v>
      </c>
      <c r="B64" t="s">
        <v>8</v>
      </c>
      <c r="C64">
        <v>4715</v>
      </c>
    </row>
    <row r="65" spans="1:3" x14ac:dyDescent="0.3">
      <c r="A65" t="s">
        <v>79</v>
      </c>
      <c r="B65" t="s">
        <v>9</v>
      </c>
      <c r="C65">
        <v>4389</v>
      </c>
    </row>
    <row r="66" spans="1:3" x14ac:dyDescent="0.3">
      <c r="A66" t="s">
        <v>79</v>
      </c>
      <c r="B66" t="s">
        <v>10</v>
      </c>
      <c r="C66">
        <v>4396</v>
      </c>
    </row>
    <row r="67" spans="1:3" x14ac:dyDescent="0.3">
      <c r="A67" t="s">
        <v>79</v>
      </c>
      <c r="B67" t="s">
        <v>11</v>
      </c>
      <c r="C67">
        <v>4325</v>
      </c>
    </row>
    <row r="68" spans="1:3" x14ac:dyDescent="0.3">
      <c r="A68" t="s">
        <v>79</v>
      </c>
      <c r="B68" t="s">
        <v>12</v>
      </c>
      <c r="C68">
        <v>4229</v>
      </c>
    </row>
    <row r="69" spans="1:3" x14ac:dyDescent="0.3">
      <c r="A69" t="s">
        <v>79</v>
      </c>
      <c r="B69" t="s">
        <v>13</v>
      </c>
      <c r="C69">
        <v>4448</v>
      </c>
    </row>
    <row r="70" spans="1:3" x14ac:dyDescent="0.3">
      <c r="A70" t="s">
        <v>79</v>
      </c>
      <c r="B70" t="s">
        <v>14</v>
      </c>
      <c r="C70">
        <v>4528</v>
      </c>
    </row>
    <row r="71" spans="1:3" x14ac:dyDescent="0.3">
      <c r="A71" t="s">
        <v>79</v>
      </c>
      <c r="B71" t="s">
        <v>15</v>
      </c>
      <c r="C71">
        <v>4507</v>
      </c>
    </row>
    <row r="72" spans="1:3" x14ac:dyDescent="0.3">
      <c r="A72" t="s">
        <v>80</v>
      </c>
      <c r="B72" t="s">
        <v>2</v>
      </c>
      <c r="C72">
        <v>7656</v>
      </c>
    </row>
    <row r="73" spans="1:3" x14ac:dyDescent="0.3">
      <c r="A73" t="s">
        <v>80</v>
      </c>
      <c r="B73" t="s">
        <v>3</v>
      </c>
      <c r="C73">
        <v>7865</v>
      </c>
    </row>
    <row r="74" spans="1:3" x14ac:dyDescent="0.3">
      <c r="A74" t="s">
        <v>80</v>
      </c>
      <c r="B74" t="s">
        <v>4</v>
      </c>
      <c r="C74">
        <v>7473</v>
      </c>
    </row>
    <row r="75" spans="1:3" x14ac:dyDescent="0.3">
      <c r="A75" t="s">
        <v>80</v>
      </c>
      <c r="B75" t="s">
        <v>5</v>
      </c>
      <c r="C75">
        <v>7428</v>
      </c>
    </row>
    <row r="76" spans="1:3" x14ac:dyDescent="0.3">
      <c r="A76" t="s">
        <v>80</v>
      </c>
      <c r="B76" t="s">
        <v>6</v>
      </c>
      <c r="C76">
        <v>7193</v>
      </c>
    </row>
    <row r="77" spans="1:3" x14ac:dyDescent="0.3">
      <c r="A77" t="s">
        <v>80</v>
      </c>
      <c r="B77" t="s">
        <v>7</v>
      </c>
      <c r="C77">
        <v>7317</v>
      </c>
    </row>
    <row r="78" spans="1:3" x14ac:dyDescent="0.3">
      <c r="A78" t="s">
        <v>80</v>
      </c>
      <c r="B78" t="s">
        <v>8</v>
      </c>
      <c r="C78">
        <v>7397</v>
      </c>
    </row>
    <row r="79" spans="1:3" x14ac:dyDescent="0.3">
      <c r="A79" t="s">
        <v>80</v>
      </c>
      <c r="B79" t="s">
        <v>9</v>
      </c>
      <c r="C79">
        <v>7191</v>
      </c>
    </row>
    <row r="80" spans="1:3" x14ac:dyDescent="0.3">
      <c r="A80" t="s">
        <v>80</v>
      </c>
      <c r="B80" t="s">
        <v>10</v>
      </c>
      <c r="C80">
        <v>7107</v>
      </c>
    </row>
    <row r="81" spans="1:3" x14ac:dyDescent="0.3">
      <c r="A81" t="s">
        <v>80</v>
      </c>
      <c r="B81" t="s">
        <v>11</v>
      </c>
      <c r="C81">
        <v>7198</v>
      </c>
    </row>
    <row r="82" spans="1:3" x14ac:dyDescent="0.3">
      <c r="A82" t="s">
        <v>80</v>
      </c>
      <c r="B82" t="s">
        <v>12</v>
      </c>
      <c r="C82">
        <v>6990</v>
      </c>
    </row>
    <row r="83" spans="1:3" x14ac:dyDescent="0.3">
      <c r="A83" t="s">
        <v>80</v>
      </c>
      <c r="B83" t="s">
        <v>13</v>
      </c>
      <c r="C83">
        <v>7756</v>
      </c>
    </row>
    <row r="84" spans="1:3" x14ac:dyDescent="0.3">
      <c r="A84" t="s">
        <v>80</v>
      </c>
      <c r="B84" t="s">
        <v>14</v>
      </c>
      <c r="C84">
        <v>8169</v>
      </c>
    </row>
    <row r="85" spans="1:3" x14ac:dyDescent="0.3">
      <c r="A85" t="s">
        <v>80</v>
      </c>
      <c r="B85" t="s">
        <v>15</v>
      </c>
      <c r="C85">
        <v>8077</v>
      </c>
    </row>
    <row r="86" spans="1:3" x14ac:dyDescent="0.3">
      <c r="A86" t="s">
        <v>81</v>
      </c>
      <c r="B86" t="s">
        <v>2</v>
      </c>
      <c r="C86">
        <v>12529</v>
      </c>
    </row>
    <row r="87" spans="1:3" x14ac:dyDescent="0.3">
      <c r="A87" t="s">
        <v>81</v>
      </c>
      <c r="B87" t="s">
        <v>3</v>
      </c>
      <c r="C87">
        <v>12607</v>
      </c>
    </row>
    <row r="88" spans="1:3" x14ac:dyDescent="0.3">
      <c r="A88" t="s">
        <v>81</v>
      </c>
      <c r="B88" t="s">
        <v>4</v>
      </c>
      <c r="C88">
        <v>12179</v>
      </c>
    </row>
    <row r="89" spans="1:3" x14ac:dyDescent="0.3">
      <c r="A89" t="s">
        <v>81</v>
      </c>
      <c r="B89" t="s">
        <v>5</v>
      </c>
      <c r="C89">
        <v>12175</v>
      </c>
    </row>
    <row r="90" spans="1:3" x14ac:dyDescent="0.3">
      <c r="A90" t="s">
        <v>81</v>
      </c>
      <c r="B90" t="s">
        <v>6</v>
      </c>
      <c r="C90">
        <v>12056</v>
      </c>
    </row>
    <row r="91" spans="1:3" x14ac:dyDescent="0.3">
      <c r="A91" t="s">
        <v>81</v>
      </c>
      <c r="B91" t="s">
        <v>7</v>
      </c>
      <c r="C91">
        <v>11752</v>
      </c>
    </row>
    <row r="92" spans="1:3" x14ac:dyDescent="0.3">
      <c r="A92" t="s">
        <v>81</v>
      </c>
      <c r="B92" t="s">
        <v>8</v>
      </c>
      <c r="C92">
        <v>12002</v>
      </c>
    </row>
    <row r="93" spans="1:3" x14ac:dyDescent="0.3">
      <c r="A93" t="s">
        <v>81</v>
      </c>
      <c r="B93" t="s">
        <v>9</v>
      </c>
      <c r="C93">
        <v>11395</v>
      </c>
    </row>
    <row r="94" spans="1:3" x14ac:dyDescent="0.3">
      <c r="A94" t="s">
        <v>81</v>
      </c>
      <c r="B94" t="s">
        <v>10</v>
      </c>
      <c r="C94">
        <v>11232</v>
      </c>
    </row>
    <row r="95" spans="1:3" x14ac:dyDescent="0.3">
      <c r="A95" t="s">
        <v>81</v>
      </c>
      <c r="B95" t="s">
        <v>11</v>
      </c>
      <c r="C95">
        <v>11079</v>
      </c>
    </row>
    <row r="96" spans="1:3" x14ac:dyDescent="0.3">
      <c r="A96" t="s">
        <v>81</v>
      </c>
      <c r="B96" t="s">
        <v>12</v>
      </c>
      <c r="C96">
        <v>10752</v>
      </c>
    </row>
    <row r="97" spans="1:3" x14ac:dyDescent="0.3">
      <c r="A97" t="s">
        <v>81</v>
      </c>
      <c r="B97" t="s">
        <v>13</v>
      </c>
      <c r="C97">
        <v>11541</v>
      </c>
    </row>
    <row r="98" spans="1:3" x14ac:dyDescent="0.3">
      <c r="A98" t="s">
        <v>81</v>
      </c>
      <c r="B98" t="s">
        <v>14</v>
      </c>
      <c r="C98">
        <v>12155</v>
      </c>
    </row>
    <row r="99" spans="1:3" x14ac:dyDescent="0.3">
      <c r="A99" t="s">
        <v>81</v>
      </c>
      <c r="B99" t="s">
        <v>15</v>
      </c>
      <c r="C99">
        <v>11907</v>
      </c>
    </row>
    <row r="100" spans="1:3" x14ac:dyDescent="0.3">
      <c r="A100" t="s">
        <v>82</v>
      </c>
      <c r="B100" t="s">
        <v>2</v>
      </c>
      <c r="C100">
        <v>17686</v>
      </c>
    </row>
    <row r="101" spans="1:3" x14ac:dyDescent="0.3">
      <c r="A101" t="s">
        <v>82</v>
      </c>
      <c r="B101" t="s">
        <v>3</v>
      </c>
      <c r="C101">
        <v>18270</v>
      </c>
    </row>
    <row r="102" spans="1:3" x14ac:dyDescent="0.3">
      <c r="A102" t="s">
        <v>82</v>
      </c>
      <c r="B102" t="s">
        <v>4</v>
      </c>
      <c r="C102">
        <v>17782</v>
      </c>
    </row>
    <row r="103" spans="1:3" x14ac:dyDescent="0.3">
      <c r="A103" t="s">
        <v>82</v>
      </c>
      <c r="B103" t="s">
        <v>5</v>
      </c>
      <c r="C103">
        <v>17898</v>
      </c>
    </row>
    <row r="104" spans="1:3" x14ac:dyDescent="0.3">
      <c r="A104" t="s">
        <v>82</v>
      </c>
      <c r="B104" t="s">
        <v>6</v>
      </c>
      <c r="C104">
        <v>17253</v>
      </c>
    </row>
    <row r="105" spans="1:3" x14ac:dyDescent="0.3">
      <c r="A105" t="s">
        <v>82</v>
      </c>
      <c r="B105" t="s">
        <v>7</v>
      </c>
      <c r="C105">
        <v>17806</v>
      </c>
    </row>
    <row r="106" spans="1:3" x14ac:dyDescent="0.3">
      <c r="A106" t="s">
        <v>82</v>
      </c>
      <c r="B106" t="s">
        <v>8</v>
      </c>
      <c r="C106">
        <v>18153</v>
      </c>
    </row>
    <row r="107" spans="1:3" x14ac:dyDescent="0.3">
      <c r="A107" t="s">
        <v>82</v>
      </c>
      <c r="B107" t="s">
        <v>9</v>
      </c>
      <c r="C107">
        <v>17718</v>
      </c>
    </row>
    <row r="108" spans="1:3" x14ac:dyDescent="0.3">
      <c r="A108" t="s">
        <v>82</v>
      </c>
      <c r="B108" t="s">
        <v>10</v>
      </c>
      <c r="C108">
        <v>17614</v>
      </c>
    </row>
    <row r="109" spans="1:3" x14ac:dyDescent="0.3">
      <c r="A109" t="s">
        <v>82</v>
      </c>
      <c r="B109" t="s">
        <v>11</v>
      </c>
      <c r="C109">
        <v>17309</v>
      </c>
    </row>
    <row r="110" spans="1:3" x14ac:dyDescent="0.3">
      <c r="A110" t="s">
        <v>82</v>
      </c>
      <c r="B110" t="s">
        <v>12</v>
      </c>
      <c r="C110">
        <v>16552</v>
      </c>
    </row>
    <row r="111" spans="1:3" x14ac:dyDescent="0.3">
      <c r="A111" t="s">
        <v>82</v>
      </c>
      <c r="B111" t="s">
        <v>13</v>
      </c>
      <c r="C111">
        <v>17046</v>
      </c>
    </row>
    <row r="112" spans="1:3" x14ac:dyDescent="0.3">
      <c r="A112" t="s">
        <v>82</v>
      </c>
      <c r="B112" t="s">
        <v>14</v>
      </c>
      <c r="C112">
        <v>17410</v>
      </c>
    </row>
    <row r="113" spans="1:3" x14ac:dyDescent="0.3">
      <c r="A113" t="s">
        <v>82</v>
      </c>
      <c r="B113" t="s">
        <v>15</v>
      </c>
      <c r="C113">
        <v>17281</v>
      </c>
    </row>
    <row r="114" spans="1:3" x14ac:dyDescent="0.3">
      <c r="A114" t="s">
        <v>83</v>
      </c>
      <c r="B114" t="s">
        <v>2</v>
      </c>
      <c r="C114">
        <v>23338</v>
      </c>
    </row>
    <row r="115" spans="1:3" x14ac:dyDescent="0.3">
      <c r="A115" t="s">
        <v>83</v>
      </c>
      <c r="B115" t="s">
        <v>3</v>
      </c>
      <c r="C115">
        <v>23841</v>
      </c>
    </row>
    <row r="116" spans="1:3" x14ac:dyDescent="0.3">
      <c r="A116" t="s">
        <v>83</v>
      </c>
      <c r="B116" t="s">
        <v>4</v>
      </c>
      <c r="C116">
        <v>23530</v>
      </c>
    </row>
    <row r="117" spans="1:3" x14ac:dyDescent="0.3">
      <c r="A117" t="s">
        <v>83</v>
      </c>
      <c r="B117" t="s">
        <v>5</v>
      </c>
      <c r="C117">
        <v>23974</v>
      </c>
    </row>
    <row r="118" spans="1:3" x14ac:dyDescent="0.3">
      <c r="A118" t="s">
        <v>83</v>
      </c>
      <c r="B118" t="s">
        <v>6</v>
      </c>
      <c r="C118">
        <v>23884</v>
      </c>
    </row>
    <row r="119" spans="1:3" x14ac:dyDescent="0.3">
      <c r="A119" t="s">
        <v>83</v>
      </c>
      <c r="B119" t="s">
        <v>7</v>
      </c>
      <c r="C119">
        <v>24055</v>
      </c>
    </row>
    <row r="120" spans="1:3" x14ac:dyDescent="0.3">
      <c r="A120" t="s">
        <v>83</v>
      </c>
      <c r="B120" t="s">
        <v>8</v>
      </c>
      <c r="C120">
        <v>24968</v>
      </c>
    </row>
    <row r="121" spans="1:3" x14ac:dyDescent="0.3">
      <c r="A121" t="s">
        <v>83</v>
      </c>
      <c r="B121" t="s">
        <v>9</v>
      </c>
      <c r="C121">
        <v>23916</v>
      </c>
    </row>
    <row r="122" spans="1:3" x14ac:dyDescent="0.3">
      <c r="A122" t="s">
        <v>83</v>
      </c>
      <c r="B122" t="s">
        <v>10</v>
      </c>
      <c r="C122">
        <v>23882</v>
      </c>
    </row>
    <row r="123" spans="1:3" x14ac:dyDescent="0.3">
      <c r="A123" t="s">
        <v>83</v>
      </c>
      <c r="B123" t="s">
        <v>11</v>
      </c>
      <c r="C123">
        <v>24152</v>
      </c>
    </row>
    <row r="124" spans="1:3" x14ac:dyDescent="0.3">
      <c r="A124" t="s">
        <v>83</v>
      </c>
      <c r="B124" t="s">
        <v>12</v>
      </c>
      <c r="C124">
        <v>23326</v>
      </c>
    </row>
    <row r="125" spans="1:3" x14ac:dyDescent="0.3">
      <c r="A125" t="s">
        <v>83</v>
      </c>
      <c r="B125" t="s">
        <v>13</v>
      </c>
      <c r="C125">
        <v>24845</v>
      </c>
    </row>
    <row r="126" spans="1:3" x14ac:dyDescent="0.3">
      <c r="A126" t="s">
        <v>83</v>
      </c>
      <c r="B126" t="s">
        <v>14</v>
      </c>
      <c r="C126">
        <v>25593</v>
      </c>
    </row>
    <row r="127" spans="1:3" x14ac:dyDescent="0.3">
      <c r="A127" t="s">
        <v>83</v>
      </c>
      <c r="B127" t="s">
        <v>15</v>
      </c>
      <c r="C127">
        <v>24900</v>
      </c>
    </row>
    <row r="128" spans="1:3" x14ac:dyDescent="0.3">
      <c r="A128" t="s">
        <v>84</v>
      </c>
      <c r="B128" t="s">
        <v>2</v>
      </c>
      <c r="C128">
        <v>28391</v>
      </c>
    </row>
    <row r="129" spans="1:3" x14ac:dyDescent="0.3">
      <c r="A129" t="s">
        <v>84</v>
      </c>
      <c r="B129" t="s">
        <v>3</v>
      </c>
      <c r="C129">
        <v>29263</v>
      </c>
    </row>
    <row r="130" spans="1:3" x14ac:dyDescent="0.3">
      <c r="A130" t="s">
        <v>84</v>
      </c>
      <c r="B130" t="s">
        <v>4</v>
      </c>
      <c r="C130">
        <v>29209</v>
      </c>
    </row>
    <row r="131" spans="1:3" x14ac:dyDescent="0.3">
      <c r="A131" t="s">
        <v>84</v>
      </c>
      <c r="B131" t="s">
        <v>5</v>
      </c>
      <c r="C131">
        <v>29593</v>
      </c>
    </row>
    <row r="132" spans="1:3" x14ac:dyDescent="0.3">
      <c r="A132" t="s">
        <v>84</v>
      </c>
      <c r="B132" t="s">
        <v>6</v>
      </c>
      <c r="C132">
        <v>29815</v>
      </c>
    </row>
    <row r="133" spans="1:3" x14ac:dyDescent="0.3">
      <c r="A133" t="s">
        <v>84</v>
      </c>
      <c r="B133" t="s">
        <v>7</v>
      </c>
      <c r="C133">
        <v>30531</v>
      </c>
    </row>
    <row r="134" spans="1:3" x14ac:dyDescent="0.3">
      <c r="A134" t="s">
        <v>84</v>
      </c>
      <c r="B134" t="s">
        <v>8</v>
      </c>
      <c r="C134">
        <v>32341</v>
      </c>
    </row>
    <row r="135" spans="1:3" x14ac:dyDescent="0.3">
      <c r="A135" t="s">
        <v>84</v>
      </c>
      <c r="B135" t="s">
        <v>9</v>
      </c>
      <c r="C135">
        <v>32189</v>
      </c>
    </row>
    <row r="136" spans="1:3" x14ac:dyDescent="0.3">
      <c r="A136" t="s">
        <v>84</v>
      </c>
      <c r="B136" t="s">
        <v>10</v>
      </c>
      <c r="C136">
        <v>32329</v>
      </c>
    </row>
    <row r="137" spans="1:3" x14ac:dyDescent="0.3">
      <c r="A137" t="s">
        <v>84</v>
      </c>
      <c r="B137" t="s">
        <v>11</v>
      </c>
      <c r="C137">
        <v>32683</v>
      </c>
    </row>
    <row r="138" spans="1:3" x14ac:dyDescent="0.3">
      <c r="A138" t="s">
        <v>84</v>
      </c>
      <c r="B138" t="s">
        <v>12</v>
      </c>
      <c r="C138">
        <v>31688</v>
      </c>
    </row>
    <row r="139" spans="1:3" x14ac:dyDescent="0.3">
      <c r="A139" t="s">
        <v>84</v>
      </c>
      <c r="B139" t="s">
        <v>13</v>
      </c>
      <c r="C139">
        <v>33468</v>
      </c>
    </row>
    <row r="140" spans="1:3" x14ac:dyDescent="0.3">
      <c r="A140" t="s">
        <v>84</v>
      </c>
      <c r="B140" t="s">
        <v>14</v>
      </c>
      <c r="C140">
        <v>34546</v>
      </c>
    </row>
    <row r="141" spans="1:3" x14ac:dyDescent="0.3">
      <c r="A141" t="s">
        <v>84</v>
      </c>
      <c r="B141" t="s">
        <v>15</v>
      </c>
      <c r="C141">
        <v>33873</v>
      </c>
    </row>
  </sheetData>
  <pageMargins left="0.511811024" right="0.511811024" top="0.78740157499999996" bottom="0.78740157499999996" header="0.31496062000000002" footer="0.31496062000000002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BAF33-5E5A-4745-B014-EC443FBF9C23}">
  <dimension ref="A1:I16"/>
  <sheetViews>
    <sheetView workbookViewId="0">
      <selection activeCell="E14" sqref="E14"/>
    </sheetView>
  </sheetViews>
  <sheetFormatPr defaultRowHeight="14.4" x14ac:dyDescent="0.3"/>
  <cols>
    <col min="1" max="1" width="6.88671875" bestFit="1" customWidth="1"/>
    <col min="5" max="5" width="9.44140625" bestFit="1" customWidth="1"/>
    <col min="7" max="7" width="5" bestFit="1" customWidth="1"/>
    <col min="8" max="8" width="7" bestFit="1" customWidth="1"/>
    <col min="9" max="9" width="9.33203125" bestFit="1" customWidth="1"/>
  </cols>
  <sheetData>
    <row r="1" spans="1:9" x14ac:dyDescent="0.3">
      <c r="A1" t="s">
        <v>101</v>
      </c>
      <c r="B1" t="s">
        <v>102</v>
      </c>
    </row>
    <row r="2" spans="1:9" x14ac:dyDescent="0.3">
      <c r="A2">
        <v>2010</v>
      </c>
      <c r="B2">
        <v>99825</v>
      </c>
      <c r="D2">
        <v>2020</v>
      </c>
      <c r="E2" s="25">
        <f>_xlfn.FORECAST.LINEAR(2020,cv_total_15a64[Obitos],cv_total_15a64[Ano])</f>
        <v>103930.25494505488</v>
      </c>
      <c r="G2" s="20" t="s">
        <v>101</v>
      </c>
      <c r="H2" s="20" t="s">
        <v>167</v>
      </c>
      <c r="I2" s="20" t="s">
        <v>168</v>
      </c>
    </row>
    <row r="3" spans="1:9" x14ac:dyDescent="0.3">
      <c r="A3">
        <v>2011</v>
      </c>
      <c r="B3">
        <v>102056</v>
      </c>
      <c r="D3">
        <v>2021</v>
      </c>
      <c r="E3" s="25">
        <f>_xlfn.FORECAST.LINEAR(2021,cv_total_15a64[Obitos],cv_total_15a64[Ano])</f>
        <v>104304.38901098899</v>
      </c>
      <c r="G3" s="21">
        <v>2010</v>
      </c>
      <c r="H3" s="21">
        <v>99825</v>
      </c>
      <c r="I3" s="21">
        <v>99825</v>
      </c>
    </row>
    <row r="4" spans="1:9" x14ac:dyDescent="0.3">
      <c r="A4">
        <v>2012</v>
      </c>
      <c r="B4">
        <v>100585</v>
      </c>
      <c r="D4">
        <v>2022</v>
      </c>
      <c r="E4" s="25">
        <f>_xlfn.FORECAST.LINEAR(2022,cv_total_15a64[Obitos],cv_total_15a64[Ano])</f>
        <v>104678.52307692298</v>
      </c>
      <c r="G4" s="21">
        <v>2011</v>
      </c>
      <c r="H4" s="21">
        <v>102056</v>
      </c>
      <c r="I4" s="21">
        <v>102056</v>
      </c>
    </row>
    <row r="5" spans="1:9" x14ac:dyDescent="0.3">
      <c r="A5">
        <v>2013</v>
      </c>
      <c r="B5">
        <v>101473</v>
      </c>
      <c r="D5">
        <v>2023</v>
      </c>
      <c r="E5" s="25">
        <f>_xlfn.FORECAST.LINEAR(2023,cv_total_15a64[Obitos],cv_total_15a64[Ano])</f>
        <v>105052.65714285709</v>
      </c>
      <c r="G5" s="21">
        <v>2012</v>
      </c>
      <c r="H5" s="21">
        <v>100585</v>
      </c>
      <c r="I5" s="21">
        <v>100585</v>
      </c>
    </row>
    <row r="6" spans="1:9" x14ac:dyDescent="0.3">
      <c r="A6">
        <v>2014</v>
      </c>
      <c r="B6">
        <v>100704</v>
      </c>
      <c r="G6" s="21">
        <v>2013</v>
      </c>
      <c r="H6" s="21">
        <v>101473</v>
      </c>
      <c r="I6" s="21">
        <v>101473</v>
      </c>
    </row>
    <row r="7" spans="1:9" x14ac:dyDescent="0.3">
      <c r="A7">
        <v>2015</v>
      </c>
      <c r="B7">
        <v>102227</v>
      </c>
      <c r="G7" s="21">
        <v>2014</v>
      </c>
      <c r="H7" s="21">
        <v>100704</v>
      </c>
      <c r="I7" s="21">
        <v>100704</v>
      </c>
    </row>
    <row r="8" spans="1:9" x14ac:dyDescent="0.3">
      <c r="A8">
        <v>2016</v>
      </c>
      <c r="B8">
        <v>105672</v>
      </c>
      <c r="G8" s="21">
        <v>2015</v>
      </c>
      <c r="H8" s="21">
        <v>102227</v>
      </c>
      <c r="I8" s="21">
        <v>102227</v>
      </c>
    </row>
    <row r="9" spans="1:9" x14ac:dyDescent="0.3">
      <c r="A9">
        <v>2017</v>
      </c>
      <c r="B9">
        <v>102342</v>
      </c>
      <c r="G9" s="21">
        <v>2016</v>
      </c>
      <c r="H9" s="21">
        <v>105672</v>
      </c>
      <c r="I9" s="21">
        <v>105672</v>
      </c>
    </row>
    <row r="10" spans="1:9" x14ac:dyDescent="0.3">
      <c r="A10">
        <v>2018</v>
      </c>
      <c r="B10">
        <v>101886</v>
      </c>
      <c r="G10" s="21">
        <v>2017</v>
      </c>
      <c r="H10" s="21">
        <v>102342</v>
      </c>
      <c r="I10" s="21">
        <v>102342</v>
      </c>
    </row>
    <row r="11" spans="1:9" x14ac:dyDescent="0.3">
      <c r="A11">
        <v>2019</v>
      </c>
      <c r="B11">
        <v>102164</v>
      </c>
      <c r="G11" s="21">
        <v>2018</v>
      </c>
      <c r="H11" s="21">
        <v>101886</v>
      </c>
      <c r="I11" s="21">
        <v>101886</v>
      </c>
    </row>
    <row r="12" spans="1:9" x14ac:dyDescent="0.3">
      <c r="A12">
        <v>2020</v>
      </c>
      <c r="B12">
        <v>98803</v>
      </c>
      <c r="G12" s="21">
        <v>2019</v>
      </c>
      <c r="H12" s="21">
        <v>102164</v>
      </c>
      <c r="I12" s="21">
        <v>102164</v>
      </c>
    </row>
    <row r="13" spans="1:9" x14ac:dyDescent="0.3">
      <c r="A13">
        <v>2021</v>
      </c>
      <c r="B13">
        <v>104639</v>
      </c>
      <c r="G13" s="21">
        <v>2020</v>
      </c>
      <c r="H13" s="21">
        <v>98803</v>
      </c>
      <c r="I13" s="25">
        <f>_xlfn.FORECAST.LINEAR(2020,cv_total_15a64[Obitos],cv_total_15a64[Ano])</f>
        <v>103930.25494505488</v>
      </c>
    </row>
    <row r="14" spans="1:9" x14ac:dyDescent="0.3">
      <c r="A14">
        <v>2022</v>
      </c>
      <c r="B14">
        <v>108133</v>
      </c>
      <c r="G14" s="21">
        <v>2021</v>
      </c>
      <c r="H14" s="21">
        <v>104639</v>
      </c>
      <c r="I14" s="25">
        <f>_xlfn.FORECAST.LINEAR(2021,cv_total_15a64[Obitos],cv_total_15a64[Ano])</f>
        <v>104304.38901098899</v>
      </c>
    </row>
    <row r="15" spans="1:9" x14ac:dyDescent="0.3">
      <c r="A15">
        <v>2023</v>
      </c>
      <c r="B15">
        <v>106182</v>
      </c>
      <c r="G15" s="21">
        <v>2022</v>
      </c>
      <c r="H15" s="21">
        <v>108133</v>
      </c>
      <c r="I15" s="25">
        <f>_xlfn.FORECAST.LINEAR(2022,cv_total_15a64[Obitos],cv_total_15a64[Ano])</f>
        <v>104678.52307692298</v>
      </c>
    </row>
    <row r="16" spans="1:9" x14ac:dyDescent="0.3">
      <c r="G16" s="21">
        <v>2023</v>
      </c>
      <c r="H16" s="21">
        <v>106182</v>
      </c>
      <c r="I16" s="25">
        <f>_xlfn.FORECAST.LINEAR(2023,cv_total_15a64[Obitos],cv_total_15a64[Ano])</f>
        <v>105052.65714285709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4D76D-E2D2-45E6-8EF2-7593D408DF6D}">
  <dimension ref="A1:K827"/>
  <sheetViews>
    <sheetView topLeftCell="B1" workbookViewId="0">
      <selection activeCell="E6" sqref="E6:F15"/>
    </sheetView>
  </sheetViews>
  <sheetFormatPr defaultRowHeight="14.4" x14ac:dyDescent="0.3"/>
  <cols>
    <col min="1" max="1" width="48.33203125" bestFit="1" customWidth="1"/>
    <col min="2" max="2" width="10.6640625" bestFit="1" customWidth="1"/>
    <col min="3" max="3" width="8" bestFit="1" customWidth="1"/>
    <col min="10" max="10" width="45.33203125" bestFit="1" customWidth="1"/>
    <col min="11" max="11" width="14.33203125" bestFit="1" customWidth="1"/>
  </cols>
  <sheetData>
    <row r="1" spans="1:11" x14ac:dyDescent="0.3">
      <c r="A1" t="s">
        <v>0</v>
      </c>
      <c r="B1" t="s">
        <v>101</v>
      </c>
      <c r="C1" t="s">
        <v>102</v>
      </c>
    </row>
    <row r="2" spans="1:11" x14ac:dyDescent="0.3">
      <c r="A2" t="s">
        <v>1</v>
      </c>
      <c r="B2" t="s">
        <v>2</v>
      </c>
      <c r="C2">
        <v>30792</v>
      </c>
    </row>
    <row r="3" spans="1:11" x14ac:dyDescent="0.3">
      <c r="A3" t="s">
        <v>1</v>
      </c>
      <c r="B3" t="s">
        <v>3</v>
      </c>
      <c r="C3">
        <v>31642</v>
      </c>
    </row>
    <row r="4" spans="1:11" x14ac:dyDescent="0.3">
      <c r="A4" t="s">
        <v>1</v>
      </c>
      <c r="B4" t="s">
        <v>4</v>
      </c>
      <c r="C4">
        <v>31644</v>
      </c>
    </row>
    <row r="5" spans="1:11" x14ac:dyDescent="0.3">
      <c r="A5" t="s">
        <v>1</v>
      </c>
      <c r="B5" t="s">
        <v>5</v>
      </c>
      <c r="C5">
        <v>31949</v>
      </c>
      <c r="J5" s="1" t="s">
        <v>103</v>
      </c>
      <c r="K5" t="s">
        <v>105</v>
      </c>
    </row>
    <row r="6" spans="1:11" x14ac:dyDescent="0.3">
      <c r="A6" t="s">
        <v>1</v>
      </c>
      <c r="B6" t="s">
        <v>6</v>
      </c>
      <c r="C6">
        <v>32337</v>
      </c>
      <c r="E6" s="2" t="s">
        <v>1</v>
      </c>
      <c r="F6">
        <v>456123</v>
      </c>
      <c r="J6" s="2" t="s">
        <v>1</v>
      </c>
      <c r="K6">
        <v>456123</v>
      </c>
    </row>
    <row r="7" spans="1:11" x14ac:dyDescent="0.3">
      <c r="A7" t="s">
        <v>1</v>
      </c>
      <c r="B7" t="s">
        <v>7</v>
      </c>
      <c r="C7">
        <v>33023</v>
      </c>
      <c r="E7" s="2" t="s">
        <v>16</v>
      </c>
      <c r="F7">
        <v>92325</v>
      </c>
      <c r="J7" s="2" t="s">
        <v>16</v>
      </c>
      <c r="K7">
        <v>92325</v>
      </c>
    </row>
    <row r="8" spans="1:11" x14ac:dyDescent="0.3">
      <c r="A8" t="s">
        <v>1</v>
      </c>
      <c r="B8" t="s">
        <v>8</v>
      </c>
      <c r="C8">
        <v>34131</v>
      </c>
      <c r="E8" s="2" t="s">
        <v>17</v>
      </c>
      <c r="F8">
        <v>78252</v>
      </c>
      <c r="J8" s="2" t="s">
        <v>17</v>
      </c>
      <c r="K8">
        <v>78252</v>
      </c>
    </row>
    <row r="9" spans="1:11" x14ac:dyDescent="0.3">
      <c r="A9" t="s">
        <v>1</v>
      </c>
      <c r="B9" t="s">
        <v>9</v>
      </c>
      <c r="C9">
        <v>33173</v>
      </c>
      <c r="E9" s="2" t="s">
        <v>18</v>
      </c>
      <c r="F9">
        <v>69890</v>
      </c>
      <c r="J9" s="2" t="s">
        <v>18</v>
      </c>
      <c r="K9">
        <v>69890</v>
      </c>
    </row>
    <row r="10" spans="1:11" x14ac:dyDescent="0.3">
      <c r="A10" t="s">
        <v>1</v>
      </c>
      <c r="B10" t="s">
        <v>10</v>
      </c>
      <c r="C10">
        <v>33136</v>
      </c>
      <c r="E10" s="2" t="s">
        <v>19</v>
      </c>
      <c r="F10">
        <v>64525</v>
      </c>
      <c r="J10" s="2" t="s">
        <v>19</v>
      </c>
      <c r="K10">
        <v>64525</v>
      </c>
    </row>
    <row r="11" spans="1:11" x14ac:dyDescent="0.3">
      <c r="A11" t="s">
        <v>1</v>
      </c>
      <c r="B11" t="s">
        <v>11</v>
      </c>
      <c r="C11">
        <v>33568</v>
      </c>
      <c r="E11" s="2" t="s">
        <v>20</v>
      </c>
      <c r="F11">
        <v>54022</v>
      </c>
      <c r="J11" s="2" t="s">
        <v>20</v>
      </c>
      <c r="K11">
        <v>54022</v>
      </c>
    </row>
    <row r="12" spans="1:11" x14ac:dyDescent="0.3">
      <c r="A12" t="s">
        <v>1</v>
      </c>
      <c r="B12" t="s">
        <v>12</v>
      </c>
      <c r="C12">
        <v>31334</v>
      </c>
      <c r="E12" s="2" t="s">
        <v>21</v>
      </c>
      <c r="F12">
        <v>34540</v>
      </c>
      <c r="J12" s="2" t="s">
        <v>21</v>
      </c>
      <c r="K12">
        <v>34540</v>
      </c>
    </row>
    <row r="13" spans="1:11" x14ac:dyDescent="0.3">
      <c r="A13" t="s">
        <v>1</v>
      </c>
      <c r="B13" t="s">
        <v>13</v>
      </c>
      <c r="C13">
        <v>32659</v>
      </c>
      <c r="E13" s="2" t="s">
        <v>22</v>
      </c>
      <c r="F13">
        <v>22752</v>
      </c>
      <c r="J13" s="2" t="s">
        <v>22</v>
      </c>
      <c r="K13">
        <v>22752</v>
      </c>
    </row>
    <row r="14" spans="1:11" x14ac:dyDescent="0.3">
      <c r="A14" t="s">
        <v>1</v>
      </c>
      <c r="B14" t="s">
        <v>14</v>
      </c>
      <c r="C14">
        <v>33988</v>
      </c>
      <c r="E14" s="2" t="s">
        <v>23</v>
      </c>
      <c r="F14">
        <v>19232</v>
      </c>
      <c r="J14" s="2" t="s">
        <v>23</v>
      </c>
      <c r="K14">
        <v>19232</v>
      </c>
    </row>
    <row r="15" spans="1:11" x14ac:dyDescent="0.3">
      <c r="A15" t="s">
        <v>1</v>
      </c>
      <c r="B15" t="s">
        <v>15</v>
      </c>
      <c r="C15">
        <v>32747</v>
      </c>
      <c r="E15" s="2" t="s">
        <v>24</v>
      </c>
      <c r="F15">
        <v>12480</v>
      </c>
      <c r="J15" s="2" t="s">
        <v>24</v>
      </c>
      <c r="K15">
        <v>12480</v>
      </c>
    </row>
    <row r="16" spans="1:11" x14ac:dyDescent="0.3">
      <c r="A16" t="s">
        <v>16</v>
      </c>
      <c r="B16" t="s">
        <v>2</v>
      </c>
      <c r="C16">
        <v>5950</v>
      </c>
      <c r="J16" s="2" t="s">
        <v>25</v>
      </c>
      <c r="K16">
        <v>11436</v>
      </c>
    </row>
    <row r="17" spans="1:11" x14ac:dyDescent="0.3">
      <c r="A17" t="s">
        <v>16</v>
      </c>
      <c r="B17" t="s">
        <v>3</v>
      </c>
      <c r="C17">
        <v>6099</v>
      </c>
      <c r="J17" s="2" t="s">
        <v>26</v>
      </c>
      <c r="K17">
        <v>8540</v>
      </c>
    </row>
    <row r="18" spans="1:11" x14ac:dyDescent="0.3">
      <c r="A18" t="s">
        <v>16</v>
      </c>
      <c r="B18" t="s">
        <v>4</v>
      </c>
      <c r="C18">
        <v>5870</v>
      </c>
      <c r="J18" s="2" t="s">
        <v>27</v>
      </c>
      <c r="K18">
        <v>8504</v>
      </c>
    </row>
    <row r="19" spans="1:11" x14ac:dyDescent="0.3">
      <c r="A19" t="s">
        <v>16</v>
      </c>
      <c r="B19" t="s">
        <v>5</v>
      </c>
      <c r="C19">
        <v>5778</v>
      </c>
      <c r="J19" s="2" t="s">
        <v>28</v>
      </c>
      <c r="K19">
        <v>8163</v>
      </c>
    </row>
    <row r="20" spans="1:11" x14ac:dyDescent="0.3">
      <c r="A20" t="s">
        <v>16</v>
      </c>
      <c r="B20" t="s">
        <v>6</v>
      </c>
      <c r="C20">
        <v>5472</v>
      </c>
      <c r="J20" s="2" t="s">
        <v>29</v>
      </c>
      <c r="K20">
        <v>7466</v>
      </c>
    </row>
    <row r="21" spans="1:11" x14ac:dyDescent="0.3">
      <c r="A21" t="s">
        <v>16</v>
      </c>
      <c r="B21" t="s">
        <v>7</v>
      </c>
      <c r="C21">
        <v>5641</v>
      </c>
      <c r="J21" s="2" t="s">
        <v>30</v>
      </c>
      <c r="K21">
        <v>7437</v>
      </c>
    </row>
    <row r="22" spans="1:11" x14ac:dyDescent="0.3">
      <c r="A22" t="s">
        <v>16</v>
      </c>
      <c r="B22" t="s">
        <v>8</v>
      </c>
      <c r="C22">
        <v>6012</v>
      </c>
      <c r="J22" s="2" t="s">
        <v>31</v>
      </c>
      <c r="K22">
        <v>7037</v>
      </c>
    </row>
    <row r="23" spans="1:11" x14ac:dyDescent="0.3">
      <c r="A23" t="s">
        <v>16</v>
      </c>
      <c r="B23" t="s">
        <v>9</v>
      </c>
      <c r="C23">
        <v>6000</v>
      </c>
      <c r="J23" s="2" t="s">
        <v>32</v>
      </c>
      <c r="K23">
        <v>6619</v>
      </c>
    </row>
    <row r="24" spans="1:11" x14ac:dyDescent="0.3">
      <c r="A24" t="s">
        <v>16</v>
      </c>
      <c r="B24" t="s">
        <v>10</v>
      </c>
      <c r="C24">
        <v>5914</v>
      </c>
      <c r="J24" s="2" t="s">
        <v>33</v>
      </c>
      <c r="K24">
        <v>5981</v>
      </c>
    </row>
    <row r="25" spans="1:11" x14ac:dyDescent="0.3">
      <c r="A25" t="s">
        <v>16</v>
      </c>
      <c r="B25" t="s">
        <v>11</v>
      </c>
      <c r="C25">
        <v>5963</v>
      </c>
      <c r="J25" s="2" t="s">
        <v>34</v>
      </c>
      <c r="K25">
        <v>5884</v>
      </c>
    </row>
    <row r="26" spans="1:11" x14ac:dyDescent="0.3">
      <c r="A26" t="s">
        <v>16</v>
      </c>
      <c r="B26" t="s">
        <v>12</v>
      </c>
      <c r="C26">
        <v>8857</v>
      </c>
      <c r="J26" s="2" t="s">
        <v>35</v>
      </c>
      <c r="K26">
        <v>5778</v>
      </c>
    </row>
    <row r="27" spans="1:11" x14ac:dyDescent="0.3">
      <c r="A27" t="s">
        <v>16</v>
      </c>
      <c r="B27" t="s">
        <v>13</v>
      </c>
      <c r="C27">
        <v>9312</v>
      </c>
      <c r="J27" s="2" t="s">
        <v>36</v>
      </c>
      <c r="K27">
        <v>5772</v>
      </c>
    </row>
    <row r="28" spans="1:11" x14ac:dyDescent="0.3">
      <c r="A28" t="s">
        <v>16</v>
      </c>
      <c r="B28" t="s">
        <v>14</v>
      </c>
      <c r="C28">
        <v>8290</v>
      </c>
      <c r="J28" s="2" t="s">
        <v>37</v>
      </c>
      <c r="K28">
        <v>5449</v>
      </c>
    </row>
    <row r="29" spans="1:11" x14ac:dyDescent="0.3">
      <c r="A29" t="s">
        <v>16</v>
      </c>
      <c r="B29" t="s">
        <v>15</v>
      </c>
      <c r="C29">
        <v>7167</v>
      </c>
      <c r="J29" s="2" t="s">
        <v>38</v>
      </c>
      <c r="K29">
        <v>4763</v>
      </c>
    </row>
    <row r="30" spans="1:11" x14ac:dyDescent="0.3">
      <c r="A30" t="s">
        <v>17</v>
      </c>
      <c r="B30" t="s">
        <v>2</v>
      </c>
      <c r="C30">
        <v>5736</v>
      </c>
      <c r="J30" s="2" t="s">
        <v>39</v>
      </c>
      <c r="K30">
        <v>4041</v>
      </c>
    </row>
    <row r="31" spans="1:11" x14ac:dyDescent="0.3">
      <c r="A31" t="s">
        <v>17</v>
      </c>
      <c r="B31" t="s">
        <v>3</v>
      </c>
      <c r="C31">
        <v>5723</v>
      </c>
      <c r="J31" s="2" t="s">
        <v>40</v>
      </c>
      <c r="K31">
        <v>3807</v>
      </c>
    </row>
    <row r="32" spans="1:11" x14ac:dyDescent="0.3">
      <c r="A32" t="s">
        <v>17</v>
      </c>
      <c r="B32" t="s">
        <v>4</v>
      </c>
      <c r="C32">
        <v>5543</v>
      </c>
      <c r="J32" s="2" t="s">
        <v>41</v>
      </c>
      <c r="K32">
        <v>3780</v>
      </c>
    </row>
    <row r="33" spans="1:11" x14ac:dyDescent="0.3">
      <c r="A33" t="s">
        <v>17</v>
      </c>
      <c r="B33" t="s">
        <v>5</v>
      </c>
      <c r="C33">
        <v>5561</v>
      </c>
      <c r="J33" s="2" t="s">
        <v>42</v>
      </c>
      <c r="K33">
        <v>2714</v>
      </c>
    </row>
    <row r="34" spans="1:11" x14ac:dyDescent="0.3">
      <c r="A34" t="s">
        <v>17</v>
      </c>
      <c r="B34" t="s">
        <v>6</v>
      </c>
      <c r="C34">
        <v>5231</v>
      </c>
      <c r="J34" s="2" t="s">
        <v>43</v>
      </c>
      <c r="K34">
        <v>2532</v>
      </c>
    </row>
    <row r="35" spans="1:11" x14ac:dyDescent="0.3">
      <c r="A35" t="s">
        <v>17</v>
      </c>
      <c r="B35" t="s">
        <v>7</v>
      </c>
      <c r="C35">
        <v>5361</v>
      </c>
      <c r="J35" s="2" t="s">
        <v>44</v>
      </c>
      <c r="K35">
        <v>2447</v>
      </c>
    </row>
    <row r="36" spans="1:11" x14ac:dyDescent="0.3">
      <c r="A36" t="s">
        <v>17</v>
      </c>
      <c r="B36" t="s">
        <v>8</v>
      </c>
      <c r="C36">
        <v>5749</v>
      </c>
      <c r="J36" s="2" t="s">
        <v>45</v>
      </c>
      <c r="K36">
        <v>2197</v>
      </c>
    </row>
    <row r="37" spans="1:11" x14ac:dyDescent="0.3">
      <c r="A37" t="s">
        <v>17</v>
      </c>
      <c r="B37" t="s">
        <v>9</v>
      </c>
      <c r="C37">
        <v>5258</v>
      </c>
      <c r="J37" s="2" t="s">
        <v>46</v>
      </c>
      <c r="K37">
        <v>2108</v>
      </c>
    </row>
    <row r="38" spans="1:11" x14ac:dyDescent="0.3">
      <c r="A38" t="s">
        <v>17</v>
      </c>
      <c r="B38" t="s">
        <v>10</v>
      </c>
      <c r="C38">
        <v>5189</v>
      </c>
      <c r="J38" s="2" t="s">
        <v>47</v>
      </c>
      <c r="K38">
        <v>2024</v>
      </c>
    </row>
    <row r="39" spans="1:11" x14ac:dyDescent="0.3">
      <c r="A39" t="s">
        <v>17</v>
      </c>
      <c r="B39" t="s">
        <v>11</v>
      </c>
      <c r="C39">
        <v>5195</v>
      </c>
      <c r="J39" s="2" t="s">
        <v>48</v>
      </c>
      <c r="K39">
        <v>1875</v>
      </c>
    </row>
    <row r="40" spans="1:11" x14ac:dyDescent="0.3">
      <c r="A40" t="s">
        <v>17</v>
      </c>
      <c r="B40" t="s">
        <v>12</v>
      </c>
      <c r="C40">
        <v>5462</v>
      </c>
      <c r="J40" s="2" t="s">
        <v>49</v>
      </c>
      <c r="K40">
        <v>1599</v>
      </c>
    </row>
    <row r="41" spans="1:11" x14ac:dyDescent="0.3">
      <c r="A41" t="s">
        <v>17</v>
      </c>
      <c r="B41" t="s">
        <v>13</v>
      </c>
      <c r="C41">
        <v>6092</v>
      </c>
      <c r="J41" s="2" t="s">
        <v>50</v>
      </c>
      <c r="K41">
        <v>1439</v>
      </c>
    </row>
    <row r="42" spans="1:11" x14ac:dyDescent="0.3">
      <c r="A42" t="s">
        <v>17</v>
      </c>
      <c r="B42" t="s">
        <v>14</v>
      </c>
      <c r="C42">
        <v>6230</v>
      </c>
      <c r="J42" s="2" t="s">
        <v>51</v>
      </c>
      <c r="K42">
        <v>935</v>
      </c>
    </row>
    <row r="43" spans="1:11" x14ac:dyDescent="0.3">
      <c r="A43" t="s">
        <v>17</v>
      </c>
      <c r="B43" t="s">
        <v>15</v>
      </c>
      <c r="C43">
        <v>5922</v>
      </c>
      <c r="J43" s="2" t="s">
        <v>52</v>
      </c>
      <c r="K43">
        <v>901</v>
      </c>
    </row>
    <row r="44" spans="1:11" x14ac:dyDescent="0.3">
      <c r="A44" t="s">
        <v>18</v>
      </c>
      <c r="B44" t="s">
        <v>2</v>
      </c>
      <c r="C44">
        <v>5336</v>
      </c>
      <c r="J44" s="2" t="s">
        <v>53</v>
      </c>
      <c r="K44">
        <v>843</v>
      </c>
    </row>
    <row r="45" spans="1:11" x14ac:dyDescent="0.3">
      <c r="A45" t="s">
        <v>18</v>
      </c>
      <c r="B45" t="s">
        <v>3</v>
      </c>
      <c r="C45">
        <v>5132</v>
      </c>
      <c r="J45" s="2" t="s">
        <v>54</v>
      </c>
      <c r="K45">
        <v>832</v>
      </c>
    </row>
    <row r="46" spans="1:11" x14ac:dyDescent="0.3">
      <c r="A46" t="s">
        <v>18</v>
      </c>
      <c r="B46" t="s">
        <v>4</v>
      </c>
      <c r="C46">
        <v>5000</v>
      </c>
      <c r="J46" s="2" t="s">
        <v>55</v>
      </c>
      <c r="K46">
        <v>754</v>
      </c>
    </row>
    <row r="47" spans="1:11" x14ac:dyDescent="0.3">
      <c r="A47" t="s">
        <v>18</v>
      </c>
      <c r="B47" t="s">
        <v>5</v>
      </c>
      <c r="C47">
        <v>5494</v>
      </c>
      <c r="J47" s="2" t="s">
        <v>56</v>
      </c>
      <c r="K47">
        <v>720</v>
      </c>
    </row>
    <row r="48" spans="1:11" x14ac:dyDescent="0.3">
      <c r="A48" t="s">
        <v>18</v>
      </c>
      <c r="B48" t="s">
        <v>6</v>
      </c>
      <c r="C48">
        <v>5755</v>
      </c>
      <c r="J48" s="2" t="s">
        <v>57</v>
      </c>
      <c r="K48">
        <v>713</v>
      </c>
    </row>
    <row r="49" spans="1:11" x14ac:dyDescent="0.3">
      <c r="A49" t="s">
        <v>18</v>
      </c>
      <c r="B49" t="s">
        <v>7</v>
      </c>
      <c r="C49">
        <v>5846</v>
      </c>
      <c r="J49" s="2" t="s">
        <v>58</v>
      </c>
      <c r="K49">
        <v>680</v>
      </c>
    </row>
    <row r="50" spans="1:11" x14ac:dyDescent="0.3">
      <c r="A50" t="s">
        <v>18</v>
      </c>
      <c r="B50" t="s">
        <v>8</v>
      </c>
      <c r="C50">
        <v>5768</v>
      </c>
      <c r="J50" s="2" t="s">
        <v>59</v>
      </c>
      <c r="K50">
        <v>617</v>
      </c>
    </row>
    <row r="51" spans="1:11" x14ac:dyDescent="0.3">
      <c r="A51" t="s">
        <v>18</v>
      </c>
      <c r="B51" t="s">
        <v>9</v>
      </c>
      <c r="C51">
        <v>4995</v>
      </c>
      <c r="J51" s="2" t="s">
        <v>60</v>
      </c>
      <c r="K51">
        <v>506</v>
      </c>
    </row>
    <row r="52" spans="1:11" x14ac:dyDescent="0.3">
      <c r="A52" t="s">
        <v>18</v>
      </c>
      <c r="B52" t="s">
        <v>10</v>
      </c>
      <c r="C52">
        <v>5199</v>
      </c>
      <c r="J52" s="2" t="s">
        <v>61</v>
      </c>
      <c r="K52">
        <v>500</v>
      </c>
    </row>
    <row r="53" spans="1:11" x14ac:dyDescent="0.3">
      <c r="A53" t="s">
        <v>18</v>
      </c>
      <c r="B53" t="s">
        <v>11</v>
      </c>
      <c r="C53">
        <v>5091</v>
      </c>
      <c r="J53" s="2" t="s">
        <v>62</v>
      </c>
      <c r="K53">
        <v>410</v>
      </c>
    </row>
    <row r="54" spans="1:11" x14ac:dyDescent="0.3">
      <c r="A54" t="s">
        <v>18</v>
      </c>
      <c r="B54" t="s">
        <v>12</v>
      </c>
      <c r="C54">
        <v>3410</v>
      </c>
      <c r="J54" s="2" t="s">
        <v>63</v>
      </c>
      <c r="K54">
        <v>388</v>
      </c>
    </row>
    <row r="55" spans="1:11" x14ac:dyDescent="0.3">
      <c r="A55" t="s">
        <v>18</v>
      </c>
      <c r="B55" t="s">
        <v>13</v>
      </c>
      <c r="C55">
        <v>3779</v>
      </c>
      <c r="J55" s="2" t="s">
        <v>64</v>
      </c>
      <c r="K55">
        <v>285</v>
      </c>
    </row>
    <row r="56" spans="1:11" x14ac:dyDescent="0.3">
      <c r="A56" t="s">
        <v>18</v>
      </c>
      <c r="B56" t="s">
        <v>14</v>
      </c>
      <c r="C56">
        <v>4557</v>
      </c>
      <c r="J56" s="2" t="s">
        <v>65</v>
      </c>
      <c r="K56">
        <v>274</v>
      </c>
    </row>
    <row r="57" spans="1:11" x14ac:dyDescent="0.3">
      <c r="A57" t="s">
        <v>18</v>
      </c>
      <c r="B57" t="s">
        <v>15</v>
      </c>
      <c r="C57">
        <v>4528</v>
      </c>
      <c r="J57" s="2" t="s">
        <v>66</v>
      </c>
      <c r="K57">
        <v>228</v>
      </c>
    </row>
    <row r="58" spans="1:11" x14ac:dyDescent="0.3">
      <c r="A58" t="s">
        <v>19</v>
      </c>
      <c r="B58" t="s">
        <v>2</v>
      </c>
      <c r="C58">
        <v>4218</v>
      </c>
      <c r="J58" s="2" t="s">
        <v>67</v>
      </c>
      <c r="K58">
        <v>158</v>
      </c>
    </row>
    <row r="59" spans="1:11" x14ac:dyDescent="0.3">
      <c r="A59" t="s">
        <v>19</v>
      </c>
      <c r="B59" t="s">
        <v>3</v>
      </c>
      <c r="C59">
        <v>4505</v>
      </c>
      <c r="J59" s="2" t="s">
        <v>68</v>
      </c>
      <c r="K59">
        <v>134</v>
      </c>
    </row>
    <row r="60" spans="1:11" x14ac:dyDescent="0.3">
      <c r="A60" t="s">
        <v>19</v>
      </c>
      <c r="B60" t="s">
        <v>4</v>
      </c>
      <c r="C60">
        <v>4415</v>
      </c>
      <c r="J60" s="2" t="s">
        <v>69</v>
      </c>
      <c r="K60">
        <v>109</v>
      </c>
    </row>
    <row r="61" spans="1:11" x14ac:dyDescent="0.3">
      <c r="A61" t="s">
        <v>19</v>
      </c>
      <c r="B61" t="s">
        <v>5</v>
      </c>
      <c r="C61">
        <v>4669</v>
      </c>
      <c r="J61" s="2" t="s">
        <v>70</v>
      </c>
      <c r="K61">
        <v>52</v>
      </c>
    </row>
    <row r="62" spans="1:11" x14ac:dyDescent="0.3">
      <c r="A62" t="s">
        <v>19</v>
      </c>
      <c r="B62" t="s">
        <v>6</v>
      </c>
      <c r="C62">
        <v>4486</v>
      </c>
      <c r="J62" s="2" t="s">
        <v>71</v>
      </c>
      <c r="K62">
        <v>37</v>
      </c>
    </row>
    <row r="63" spans="1:11" x14ac:dyDescent="0.3">
      <c r="A63" t="s">
        <v>19</v>
      </c>
      <c r="B63" t="s">
        <v>7</v>
      </c>
      <c r="C63">
        <v>4665</v>
      </c>
      <c r="J63" s="2" t="s">
        <v>72</v>
      </c>
      <c r="K63">
        <v>13</v>
      </c>
    </row>
    <row r="64" spans="1:11" x14ac:dyDescent="0.3">
      <c r="A64" t="s">
        <v>19</v>
      </c>
      <c r="B64" t="s">
        <v>8</v>
      </c>
      <c r="C64">
        <v>4901</v>
      </c>
      <c r="J64" s="2" t="s">
        <v>73</v>
      </c>
      <c r="K64">
        <v>2</v>
      </c>
    </row>
    <row r="65" spans="1:11" x14ac:dyDescent="0.3">
      <c r="A65" t="s">
        <v>19</v>
      </c>
      <c r="B65" t="s">
        <v>9</v>
      </c>
      <c r="C65">
        <v>4950</v>
      </c>
      <c r="J65" s="2" t="s">
        <v>104</v>
      </c>
      <c r="K65">
        <v>1043624</v>
      </c>
    </row>
    <row r="66" spans="1:11" x14ac:dyDescent="0.3">
      <c r="A66" t="s">
        <v>19</v>
      </c>
      <c r="B66" t="s">
        <v>10</v>
      </c>
      <c r="C66">
        <v>4858</v>
      </c>
    </row>
    <row r="67" spans="1:11" x14ac:dyDescent="0.3">
      <c r="A67" t="s">
        <v>19</v>
      </c>
      <c r="B67" t="s">
        <v>11</v>
      </c>
      <c r="C67">
        <v>4884</v>
      </c>
    </row>
    <row r="68" spans="1:11" x14ac:dyDescent="0.3">
      <c r="A68" t="s">
        <v>19</v>
      </c>
      <c r="B68" t="s">
        <v>12</v>
      </c>
      <c r="C68">
        <v>4033</v>
      </c>
    </row>
    <row r="69" spans="1:11" x14ac:dyDescent="0.3">
      <c r="A69" t="s">
        <v>19</v>
      </c>
      <c r="B69" t="s">
        <v>13</v>
      </c>
      <c r="C69">
        <v>4065</v>
      </c>
    </row>
    <row r="70" spans="1:11" x14ac:dyDescent="0.3">
      <c r="A70" t="s">
        <v>19</v>
      </c>
      <c r="B70" t="s">
        <v>14</v>
      </c>
      <c r="C70">
        <v>4736</v>
      </c>
    </row>
    <row r="71" spans="1:11" x14ac:dyDescent="0.3">
      <c r="A71" t="s">
        <v>19</v>
      </c>
      <c r="B71" t="s">
        <v>15</v>
      </c>
      <c r="C71">
        <v>5140</v>
      </c>
    </row>
    <row r="72" spans="1:11" x14ac:dyDescent="0.3">
      <c r="A72" t="s">
        <v>20</v>
      </c>
      <c r="B72" t="s">
        <v>2</v>
      </c>
      <c r="C72">
        <v>4096</v>
      </c>
    </row>
    <row r="73" spans="1:11" x14ac:dyDescent="0.3">
      <c r="A73" t="s">
        <v>20</v>
      </c>
      <c r="B73" t="s">
        <v>3</v>
      </c>
      <c r="C73">
        <v>3971</v>
      </c>
    </row>
    <row r="74" spans="1:11" x14ac:dyDescent="0.3">
      <c r="A74" t="s">
        <v>20</v>
      </c>
      <c r="B74" t="s">
        <v>4</v>
      </c>
      <c r="C74">
        <v>3779</v>
      </c>
    </row>
    <row r="75" spans="1:11" x14ac:dyDescent="0.3">
      <c r="A75" t="s">
        <v>20</v>
      </c>
      <c r="B75" t="s">
        <v>5</v>
      </c>
      <c r="C75">
        <v>3801</v>
      </c>
    </row>
    <row r="76" spans="1:11" x14ac:dyDescent="0.3">
      <c r="A76" t="s">
        <v>20</v>
      </c>
      <c r="B76" t="s">
        <v>6</v>
      </c>
      <c r="C76">
        <v>3532</v>
      </c>
    </row>
    <row r="77" spans="1:11" x14ac:dyDescent="0.3">
      <c r="A77" t="s">
        <v>20</v>
      </c>
      <c r="B77" t="s">
        <v>7</v>
      </c>
      <c r="C77">
        <v>3501</v>
      </c>
    </row>
    <row r="78" spans="1:11" x14ac:dyDescent="0.3">
      <c r="A78" t="s">
        <v>20</v>
      </c>
      <c r="B78" t="s">
        <v>8</v>
      </c>
      <c r="C78">
        <v>3821</v>
      </c>
    </row>
    <row r="79" spans="1:11" x14ac:dyDescent="0.3">
      <c r="A79" t="s">
        <v>20</v>
      </c>
      <c r="B79" t="s">
        <v>9</v>
      </c>
      <c r="C79">
        <v>3967</v>
      </c>
    </row>
    <row r="80" spans="1:11" x14ac:dyDescent="0.3">
      <c r="A80" t="s">
        <v>20</v>
      </c>
      <c r="B80" t="s">
        <v>10</v>
      </c>
      <c r="C80">
        <v>3999</v>
      </c>
    </row>
    <row r="81" spans="1:3" x14ac:dyDescent="0.3">
      <c r="A81" t="s">
        <v>20</v>
      </c>
      <c r="B81" t="s">
        <v>11</v>
      </c>
      <c r="C81">
        <v>3942</v>
      </c>
    </row>
    <row r="82" spans="1:3" x14ac:dyDescent="0.3">
      <c r="A82" t="s">
        <v>20</v>
      </c>
      <c r="B82" t="s">
        <v>12</v>
      </c>
      <c r="C82">
        <v>3796</v>
      </c>
    </row>
    <row r="83" spans="1:3" x14ac:dyDescent="0.3">
      <c r="A83" t="s">
        <v>20</v>
      </c>
      <c r="B83" t="s">
        <v>13</v>
      </c>
      <c r="C83">
        <v>3850</v>
      </c>
    </row>
    <row r="84" spans="1:3" x14ac:dyDescent="0.3">
      <c r="A84" t="s">
        <v>20</v>
      </c>
      <c r="B84" t="s">
        <v>14</v>
      </c>
      <c r="C84">
        <v>3969</v>
      </c>
    </row>
    <row r="85" spans="1:3" x14ac:dyDescent="0.3">
      <c r="A85" t="s">
        <v>20</v>
      </c>
      <c r="B85" t="s">
        <v>15</v>
      </c>
      <c r="C85">
        <v>3998</v>
      </c>
    </row>
    <row r="86" spans="1:3" x14ac:dyDescent="0.3">
      <c r="A86" t="s">
        <v>21</v>
      </c>
      <c r="B86" t="s">
        <v>2</v>
      </c>
      <c r="C86">
        <v>1687</v>
      </c>
    </row>
    <row r="87" spans="1:3" x14ac:dyDescent="0.3">
      <c r="A87" t="s">
        <v>21</v>
      </c>
      <c r="B87" t="s">
        <v>3</v>
      </c>
      <c r="C87">
        <v>1874</v>
      </c>
    </row>
    <row r="88" spans="1:3" x14ac:dyDescent="0.3">
      <c r="A88" t="s">
        <v>21</v>
      </c>
      <c r="B88" t="s">
        <v>4</v>
      </c>
      <c r="C88">
        <v>2072</v>
      </c>
    </row>
    <row r="89" spans="1:3" x14ac:dyDescent="0.3">
      <c r="A89" t="s">
        <v>21</v>
      </c>
      <c r="B89" t="s">
        <v>5</v>
      </c>
      <c r="C89">
        <v>2165</v>
      </c>
    </row>
    <row r="90" spans="1:3" x14ac:dyDescent="0.3">
      <c r="A90" t="s">
        <v>21</v>
      </c>
      <c r="B90" t="s">
        <v>6</v>
      </c>
      <c r="C90">
        <v>2368</v>
      </c>
    </row>
    <row r="91" spans="1:3" x14ac:dyDescent="0.3">
      <c r="A91" t="s">
        <v>21</v>
      </c>
      <c r="B91" t="s">
        <v>7</v>
      </c>
      <c r="C91">
        <v>2605</v>
      </c>
    </row>
    <row r="92" spans="1:3" x14ac:dyDescent="0.3">
      <c r="A92" t="s">
        <v>21</v>
      </c>
      <c r="B92" t="s">
        <v>8</v>
      </c>
      <c r="C92">
        <v>2731</v>
      </c>
    </row>
    <row r="93" spans="1:3" x14ac:dyDescent="0.3">
      <c r="A93" t="s">
        <v>21</v>
      </c>
      <c r="B93" t="s">
        <v>9</v>
      </c>
      <c r="C93">
        <v>2482</v>
      </c>
    </row>
    <row r="94" spans="1:3" x14ac:dyDescent="0.3">
      <c r="A94" t="s">
        <v>21</v>
      </c>
      <c r="B94" t="s">
        <v>10</v>
      </c>
      <c r="C94">
        <v>2504</v>
      </c>
    </row>
    <row r="95" spans="1:3" x14ac:dyDescent="0.3">
      <c r="A95" t="s">
        <v>21</v>
      </c>
      <c r="B95" t="s">
        <v>11</v>
      </c>
      <c r="C95">
        <v>2706</v>
      </c>
    </row>
    <row r="96" spans="1:3" x14ac:dyDescent="0.3">
      <c r="A96" t="s">
        <v>21</v>
      </c>
      <c r="B96" t="s">
        <v>12</v>
      </c>
      <c r="C96">
        <v>2095</v>
      </c>
    </row>
    <row r="97" spans="1:3" x14ac:dyDescent="0.3">
      <c r="A97" t="s">
        <v>21</v>
      </c>
      <c r="B97" t="s">
        <v>13</v>
      </c>
      <c r="C97">
        <v>2761</v>
      </c>
    </row>
    <row r="98" spans="1:3" x14ac:dyDescent="0.3">
      <c r="A98" t="s">
        <v>21</v>
      </c>
      <c r="B98" t="s">
        <v>14</v>
      </c>
      <c r="C98">
        <v>3143</v>
      </c>
    </row>
    <row r="99" spans="1:3" x14ac:dyDescent="0.3">
      <c r="A99" t="s">
        <v>21</v>
      </c>
      <c r="B99" t="s">
        <v>15</v>
      </c>
      <c r="C99">
        <v>3347</v>
      </c>
    </row>
    <row r="100" spans="1:3" x14ac:dyDescent="0.3">
      <c r="A100" t="s">
        <v>22</v>
      </c>
      <c r="B100" t="s">
        <v>2</v>
      </c>
      <c r="C100">
        <v>1810</v>
      </c>
    </row>
    <row r="101" spans="1:3" x14ac:dyDescent="0.3">
      <c r="A101" t="s">
        <v>22</v>
      </c>
      <c r="B101" t="s">
        <v>3</v>
      </c>
      <c r="C101">
        <v>1803</v>
      </c>
    </row>
    <row r="102" spans="1:3" x14ac:dyDescent="0.3">
      <c r="A102" t="s">
        <v>22</v>
      </c>
      <c r="B102" t="s">
        <v>4</v>
      </c>
      <c r="C102">
        <v>1774</v>
      </c>
    </row>
    <row r="103" spans="1:3" x14ac:dyDescent="0.3">
      <c r="A103" t="s">
        <v>22</v>
      </c>
      <c r="B103" t="s">
        <v>5</v>
      </c>
      <c r="C103">
        <v>1944</v>
      </c>
    </row>
    <row r="104" spans="1:3" x14ac:dyDescent="0.3">
      <c r="A104" t="s">
        <v>22</v>
      </c>
      <c r="B104" t="s">
        <v>6</v>
      </c>
      <c r="C104">
        <v>1880</v>
      </c>
    </row>
    <row r="105" spans="1:3" x14ac:dyDescent="0.3">
      <c r="A105" t="s">
        <v>22</v>
      </c>
      <c r="B105" t="s">
        <v>7</v>
      </c>
      <c r="C105">
        <v>1922</v>
      </c>
    </row>
    <row r="106" spans="1:3" x14ac:dyDescent="0.3">
      <c r="A106" t="s">
        <v>22</v>
      </c>
      <c r="B106" t="s">
        <v>8</v>
      </c>
      <c r="C106">
        <v>1827</v>
      </c>
    </row>
    <row r="107" spans="1:3" x14ac:dyDescent="0.3">
      <c r="A107" t="s">
        <v>22</v>
      </c>
      <c r="B107" t="s">
        <v>9</v>
      </c>
      <c r="C107">
        <v>1626</v>
      </c>
    </row>
    <row r="108" spans="1:3" x14ac:dyDescent="0.3">
      <c r="A108" t="s">
        <v>22</v>
      </c>
      <c r="B108" t="s">
        <v>10</v>
      </c>
      <c r="C108">
        <v>1475</v>
      </c>
    </row>
    <row r="109" spans="1:3" x14ac:dyDescent="0.3">
      <c r="A109" t="s">
        <v>22</v>
      </c>
      <c r="B109" t="s">
        <v>11</v>
      </c>
      <c r="C109">
        <v>1352</v>
      </c>
    </row>
    <row r="110" spans="1:3" x14ac:dyDescent="0.3">
      <c r="A110" t="s">
        <v>22</v>
      </c>
      <c r="B110" t="s">
        <v>12</v>
      </c>
      <c r="C110">
        <v>1277</v>
      </c>
    </row>
    <row r="111" spans="1:3" x14ac:dyDescent="0.3">
      <c r="A111" t="s">
        <v>22</v>
      </c>
      <c r="B111" t="s">
        <v>13</v>
      </c>
      <c r="C111">
        <v>1279</v>
      </c>
    </row>
    <row r="112" spans="1:3" x14ac:dyDescent="0.3">
      <c r="A112" t="s">
        <v>22</v>
      </c>
      <c r="B112" t="s">
        <v>14</v>
      </c>
      <c r="C112">
        <v>1316</v>
      </c>
    </row>
    <row r="113" spans="1:3" x14ac:dyDescent="0.3">
      <c r="A113" t="s">
        <v>22</v>
      </c>
      <c r="B113" t="s">
        <v>15</v>
      </c>
      <c r="C113">
        <v>1467</v>
      </c>
    </row>
    <row r="114" spans="1:3" x14ac:dyDescent="0.3">
      <c r="A114" t="s">
        <v>23</v>
      </c>
      <c r="B114" t="s">
        <v>2</v>
      </c>
      <c r="C114">
        <v>1361</v>
      </c>
    </row>
    <row r="115" spans="1:3" x14ac:dyDescent="0.3">
      <c r="A115" t="s">
        <v>23</v>
      </c>
      <c r="B115" t="s">
        <v>3</v>
      </c>
      <c r="C115">
        <v>1496</v>
      </c>
    </row>
    <row r="116" spans="1:3" x14ac:dyDescent="0.3">
      <c r="A116" t="s">
        <v>23</v>
      </c>
      <c r="B116" t="s">
        <v>4</v>
      </c>
      <c r="C116">
        <v>1289</v>
      </c>
    </row>
    <row r="117" spans="1:3" x14ac:dyDescent="0.3">
      <c r="A117" t="s">
        <v>23</v>
      </c>
      <c r="B117" t="s">
        <v>5</v>
      </c>
      <c r="C117">
        <v>1351</v>
      </c>
    </row>
    <row r="118" spans="1:3" x14ac:dyDescent="0.3">
      <c r="A118" t="s">
        <v>23</v>
      </c>
      <c r="B118" t="s">
        <v>6</v>
      </c>
      <c r="C118">
        <v>1340</v>
      </c>
    </row>
    <row r="119" spans="1:3" x14ac:dyDescent="0.3">
      <c r="A119" t="s">
        <v>23</v>
      </c>
      <c r="B119" t="s">
        <v>7</v>
      </c>
      <c r="C119">
        <v>1305</v>
      </c>
    </row>
    <row r="120" spans="1:3" x14ac:dyDescent="0.3">
      <c r="A120" t="s">
        <v>23</v>
      </c>
      <c r="B120" t="s">
        <v>8</v>
      </c>
      <c r="C120">
        <v>1392</v>
      </c>
    </row>
    <row r="121" spans="1:3" x14ac:dyDescent="0.3">
      <c r="A121" t="s">
        <v>23</v>
      </c>
      <c r="B121" t="s">
        <v>9</v>
      </c>
      <c r="C121">
        <v>1469</v>
      </c>
    </row>
    <row r="122" spans="1:3" x14ac:dyDescent="0.3">
      <c r="A122" t="s">
        <v>23</v>
      </c>
      <c r="B122" t="s">
        <v>10</v>
      </c>
      <c r="C122">
        <v>1347</v>
      </c>
    </row>
    <row r="123" spans="1:3" x14ac:dyDescent="0.3">
      <c r="A123" t="s">
        <v>23</v>
      </c>
      <c r="B123" t="s">
        <v>11</v>
      </c>
      <c r="C123">
        <v>1299</v>
      </c>
    </row>
    <row r="124" spans="1:3" x14ac:dyDescent="0.3">
      <c r="A124" t="s">
        <v>23</v>
      </c>
      <c r="B124" t="s">
        <v>12</v>
      </c>
      <c r="C124">
        <v>1436</v>
      </c>
    </row>
    <row r="125" spans="1:3" x14ac:dyDescent="0.3">
      <c r="A125" t="s">
        <v>23</v>
      </c>
      <c r="B125" t="s">
        <v>13</v>
      </c>
      <c r="C125">
        <v>1496</v>
      </c>
    </row>
    <row r="126" spans="1:3" x14ac:dyDescent="0.3">
      <c r="A126" t="s">
        <v>23</v>
      </c>
      <c r="B126" t="s">
        <v>14</v>
      </c>
      <c r="C126">
        <v>1307</v>
      </c>
    </row>
    <row r="127" spans="1:3" x14ac:dyDescent="0.3">
      <c r="A127" t="s">
        <v>23</v>
      </c>
      <c r="B127" t="s">
        <v>15</v>
      </c>
      <c r="C127">
        <v>1344</v>
      </c>
    </row>
    <row r="128" spans="1:3" x14ac:dyDescent="0.3">
      <c r="A128" t="s">
        <v>24</v>
      </c>
      <c r="B128" t="s">
        <v>2</v>
      </c>
      <c r="C128">
        <v>982</v>
      </c>
    </row>
    <row r="129" spans="1:3" x14ac:dyDescent="0.3">
      <c r="A129" t="s">
        <v>24</v>
      </c>
      <c r="B129" t="s">
        <v>3</v>
      </c>
      <c r="C129">
        <v>979</v>
      </c>
    </row>
    <row r="130" spans="1:3" x14ac:dyDescent="0.3">
      <c r="A130" t="s">
        <v>24</v>
      </c>
      <c r="B130" t="s">
        <v>4</v>
      </c>
      <c r="C130">
        <v>925</v>
      </c>
    </row>
    <row r="131" spans="1:3" x14ac:dyDescent="0.3">
      <c r="A131" t="s">
        <v>24</v>
      </c>
      <c r="B131" t="s">
        <v>5</v>
      </c>
      <c r="C131">
        <v>924</v>
      </c>
    </row>
    <row r="132" spans="1:3" x14ac:dyDescent="0.3">
      <c r="A132" t="s">
        <v>24</v>
      </c>
      <c r="B132" t="s">
        <v>6</v>
      </c>
      <c r="C132">
        <v>892</v>
      </c>
    </row>
    <row r="133" spans="1:3" x14ac:dyDescent="0.3">
      <c r="A133" t="s">
        <v>24</v>
      </c>
      <c r="B133" t="s">
        <v>7</v>
      </c>
      <c r="C133">
        <v>933</v>
      </c>
    </row>
    <row r="134" spans="1:3" x14ac:dyDescent="0.3">
      <c r="A134" t="s">
        <v>24</v>
      </c>
      <c r="B134" t="s">
        <v>8</v>
      </c>
      <c r="C134">
        <v>911</v>
      </c>
    </row>
    <row r="135" spans="1:3" x14ac:dyDescent="0.3">
      <c r="A135" t="s">
        <v>24</v>
      </c>
      <c r="B135" t="s">
        <v>9</v>
      </c>
      <c r="C135">
        <v>745</v>
      </c>
    </row>
    <row r="136" spans="1:3" x14ac:dyDescent="0.3">
      <c r="A136" t="s">
        <v>24</v>
      </c>
      <c r="B136" t="s">
        <v>10</v>
      </c>
      <c r="C136">
        <v>739</v>
      </c>
    </row>
    <row r="137" spans="1:3" x14ac:dyDescent="0.3">
      <c r="A137" t="s">
        <v>24</v>
      </c>
      <c r="B137" t="s">
        <v>11</v>
      </c>
      <c r="C137">
        <v>815</v>
      </c>
    </row>
    <row r="138" spans="1:3" x14ac:dyDescent="0.3">
      <c r="A138" t="s">
        <v>24</v>
      </c>
      <c r="B138" t="s">
        <v>12</v>
      </c>
      <c r="C138">
        <v>925</v>
      </c>
    </row>
    <row r="139" spans="1:3" x14ac:dyDescent="0.3">
      <c r="A139" t="s">
        <v>24</v>
      </c>
      <c r="B139" t="s">
        <v>13</v>
      </c>
      <c r="C139">
        <v>983</v>
      </c>
    </row>
    <row r="140" spans="1:3" x14ac:dyDescent="0.3">
      <c r="A140" t="s">
        <v>24</v>
      </c>
      <c r="B140" t="s">
        <v>14</v>
      </c>
      <c r="C140">
        <v>903</v>
      </c>
    </row>
    <row r="141" spans="1:3" x14ac:dyDescent="0.3">
      <c r="A141" t="s">
        <v>24</v>
      </c>
      <c r="B141" t="s">
        <v>15</v>
      </c>
      <c r="C141">
        <v>824</v>
      </c>
    </row>
    <row r="142" spans="1:3" x14ac:dyDescent="0.3">
      <c r="A142" t="s">
        <v>25</v>
      </c>
      <c r="B142" t="s">
        <v>2</v>
      </c>
      <c r="C142">
        <v>1058</v>
      </c>
    </row>
    <row r="143" spans="1:3" x14ac:dyDescent="0.3">
      <c r="A143" t="s">
        <v>25</v>
      </c>
      <c r="B143" t="s">
        <v>3</v>
      </c>
      <c r="C143">
        <v>944</v>
      </c>
    </row>
    <row r="144" spans="1:3" x14ac:dyDescent="0.3">
      <c r="A144" t="s">
        <v>25</v>
      </c>
      <c r="B144" t="s">
        <v>4</v>
      </c>
      <c r="C144">
        <v>888</v>
      </c>
    </row>
    <row r="145" spans="1:3" x14ac:dyDescent="0.3">
      <c r="A145" t="s">
        <v>25</v>
      </c>
      <c r="B145" t="s">
        <v>5</v>
      </c>
      <c r="C145">
        <v>871</v>
      </c>
    </row>
    <row r="146" spans="1:3" x14ac:dyDescent="0.3">
      <c r="A146" t="s">
        <v>25</v>
      </c>
      <c r="B146" t="s">
        <v>6</v>
      </c>
      <c r="C146">
        <v>774</v>
      </c>
    </row>
    <row r="147" spans="1:3" x14ac:dyDescent="0.3">
      <c r="A147" t="s">
        <v>25</v>
      </c>
      <c r="B147" t="s">
        <v>7</v>
      </c>
      <c r="C147">
        <v>751</v>
      </c>
    </row>
    <row r="148" spans="1:3" x14ac:dyDescent="0.3">
      <c r="A148" t="s">
        <v>25</v>
      </c>
      <c r="B148" t="s">
        <v>8</v>
      </c>
      <c r="C148">
        <v>765</v>
      </c>
    </row>
    <row r="149" spans="1:3" x14ac:dyDescent="0.3">
      <c r="A149" t="s">
        <v>25</v>
      </c>
      <c r="B149" t="s">
        <v>9</v>
      </c>
      <c r="C149">
        <v>724</v>
      </c>
    </row>
    <row r="150" spans="1:3" x14ac:dyDescent="0.3">
      <c r="A150" t="s">
        <v>25</v>
      </c>
      <c r="B150" t="s">
        <v>10</v>
      </c>
      <c r="C150">
        <v>664</v>
      </c>
    </row>
    <row r="151" spans="1:3" x14ac:dyDescent="0.3">
      <c r="A151" t="s">
        <v>25</v>
      </c>
      <c r="B151" t="s">
        <v>11</v>
      </c>
      <c r="C151">
        <v>697</v>
      </c>
    </row>
    <row r="152" spans="1:3" x14ac:dyDescent="0.3">
      <c r="A152" t="s">
        <v>25</v>
      </c>
      <c r="B152" t="s">
        <v>12</v>
      </c>
      <c r="C152">
        <v>820</v>
      </c>
    </row>
    <row r="153" spans="1:3" x14ac:dyDescent="0.3">
      <c r="A153" t="s">
        <v>25</v>
      </c>
      <c r="B153" t="s">
        <v>13</v>
      </c>
      <c r="C153">
        <v>842</v>
      </c>
    </row>
    <row r="154" spans="1:3" x14ac:dyDescent="0.3">
      <c r="A154" t="s">
        <v>25</v>
      </c>
      <c r="B154" t="s">
        <v>14</v>
      </c>
      <c r="C154">
        <v>851</v>
      </c>
    </row>
    <row r="155" spans="1:3" x14ac:dyDescent="0.3">
      <c r="A155" t="s">
        <v>25</v>
      </c>
      <c r="B155" t="s">
        <v>15</v>
      </c>
      <c r="C155">
        <v>787</v>
      </c>
    </row>
    <row r="156" spans="1:3" x14ac:dyDescent="0.3">
      <c r="A156" t="s">
        <v>26</v>
      </c>
      <c r="B156" t="s">
        <v>2</v>
      </c>
      <c r="C156">
        <v>527</v>
      </c>
    </row>
    <row r="157" spans="1:3" x14ac:dyDescent="0.3">
      <c r="A157" t="s">
        <v>26</v>
      </c>
      <c r="B157" t="s">
        <v>3</v>
      </c>
      <c r="C157">
        <v>567</v>
      </c>
    </row>
    <row r="158" spans="1:3" x14ac:dyDescent="0.3">
      <c r="A158" t="s">
        <v>26</v>
      </c>
      <c r="B158" t="s">
        <v>4</v>
      </c>
      <c r="C158">
        <v>626</v>
      </c>
    </row>
    <row r="159" spans="1:3" x14ac:dyDescent="0.3">
      <c r="A159" t="s">
        <v>26</v>
      </c>
      <c r="B159" t="s">
        <v>5</v>
      </c>
      <c r="C159">
        <v>652</v>
      </c>
    </row>
    <row r="160" spans="1:3" x14ac:dyDescent="0.3">
      <c r="A160" t="s">
        <v>26</v>
      </c>
      <c r="B160" t="s">
        <v>6</v>
      </c>
      <c r="C160">
        <v>616</v>
      </c>
    </row>
    <row r="161" spans="1:3" x14ac:dyDescent="0.3">
      <c r="A161" t="s">
        <v>26</v>
      </c>
      <c r="B161" t="s">
        <v>7</v>
      </c>
      <c r="C161">
        <v>664</v>
      </c>
    </row>
    <row r="162" spans="1:3" x14ac:dyDescent="0.3">
      <c r="A162" t="s">
        <v>26</v>
      </c>
      <c r="B162" t="s">
        <v>8</v>
      </c>
      <c r="C162">
        <v>638</v>
      </c>
    </row>
    <row r="163" spans="1:3" x14ac:dyDescent="0.3">
      <c r="A163" t="s">
        <v>26</v>
      </c>
      <c r="B163" t="s">
        <v>9</v>
      </c>
      <c r="C163">
        <v>638</v>
      </c>
    </row>
    <row r="164" spans="1:3" x14ac:dyDescent="0.3">
      <c r="A164" t="s">
        <v>26</v>
      </c>
      <c r="B164" t="s">
        <v>10</v>
      </c>
      <c r="C164">
        <v>649</v>
      </c>
    </row>
    <row r="165" spans="1:3" x14ac:dyDescent="0.3">
      <c r="A165" t="s">
        <v>26</v>
      </c>
      <c r="B165" t="s">
        <v>11</v>
      </c>
      <c r="C165">
        <v>652</v>
      </c>
    </row>
    <row r="166" spans="1:3" x14ac:dyDescent="0.3">
      <c r="A166" t="s">
        <v>26</v>
      </c>
      <c r="B166" t="s">
        <v>12</v>
      </c>
      <c r="C166">
        <v>563</v>
      </c>
    </row>
    <row r="167" spans="1:3" x14ac:dyDescent="0.3">
      <c r="A167" t="s">
        <v>26</v>
      </c>
      <c r="B167" t="s">
        <v>13</v>
      </c>
      <c r="C167">
        <v>561</v>
      </c>
    </row>
    <row r="168" spans="1:3" x14ac:dyDescent="0.3">
      <c r="A168" t="s">
        <v>26</v>
      </c>
      <c r="B168" t="s">
        <v>14</v>
      </c>
      <c r="C168">
        <v>576</v>
      </c>
    </row>
    <row r="169" spans="1:3" x14ac:dyDescent="0.3">
      <c r="A169" t="s">
        <v>26</v>
      </c>
      <c r="B169" t="s">
        <v>15</v>
      </c>
      <c r="C169">
        <v>611</v>
      </c>
    </row>
    <row r="170" spans="1:3" x14ac:dyDescent="0.3">
      <c r="A170" t="s">
        <v>27</v>
      </c>
      <c r="B170" t="s">
        <v>2</v>
      </c>
      <c r="C170">
        <v>758</v>
      </c>
    </row>
    <row r="171" spans="1:3" x14ac:dyDescent="0.3">
      <c r="A171" t="s">
        <v>27</v>
      </c>
      <c r="B171" t="s">
        <v>3</v>
      </c>
      <c r="C171">
        <v>702</v>
      </c>
    </row>
    <row r="172" spans="1:3" x14ac:dyDescent="0.3">
      <c r="A172" t="s">
        <v>27</v>
      </c>
      <c r="B172" t="s">
        <v>4</v>
      </c>
      <c r="C172">
        <v>655</v>
      </c>
    </row>
    <row r="173" spans="1:3" x14ac:dyDescent="0.3">
      <c r="A173" t="s">
        <v>27</v>
      </c>
      <c r="B173" t="s">
        <v>5</v>
      </c>
      <c r="C173">
        <v>627</v>
      </c>
    </row>
    <row r="174" spans="1:3" x14ac:dyDescent="0.3">
      <c r="A174" t="s">
        <v>27</v>
      </c>
      <c r="B174" t="s">
        <v>6</v>
      </c>
      <c r="C174">
        <v>648</v>
      </c>
    </row>
    <row r="175" spans="1:3" x14ac:dyDescent="0.3">
      <c r="A175" t="s">
        <v>27</v>
      </c>
      <c r="B175" t="s">
        <v>7</v>
      </c>
      <c r="C175">
        <v>621</v>
      </c>
    </row>
    <row r="176" spans="1:3" x14ac:dyDescent="0.3">
      <c r="A176" t="s">
        <v>27</v>
      </c>
      <c r="B176" t="s">
        <v>8</v>
      </c>
      <c r="C176">
        <v>603</v>
      </c>
    </row>
    <row r="177" spans="1:3" x14ac:dyDescent="0.3">
      <c r="A177" t="s">
        <v>27</v>
      </c>
      <c r="B177" t="s">
        <v>9</v>
      </c>
      <c r="C177">
        <v>548</v>
      </c>
    </row>
    <row r="178" spans="1:3" x14ac:dyDescent="0.3">
      <c r="A178" t="s">
        <v>27</v>
      </c>
      <c r="B178" t="s">
        <v>10</v>
      </c>
      <c r="C178">
        <v>561</v>
      </c>
    </row>
    <row r="179" spans="1:3" x14ac:dyDescent="0.3">
      <c r="A179" t="s">
        <v>27</v>
      </c>
      <c r="B179" t="s">
        <v>11</v>
      </c>
      <c r="C179">
        <v>560</v>
      </c>
    </row>
    <row r="180" spans="1:3" x14ac:dyDescent="0.3">
      <c r="A180" t="s">
        <v>27</v>
      </c>
      <c r="B180" t="s">
        <v>12</v>
      </c>
      <c r="C180">
        <v>503</v>
      </c>
    </row>
    <row r="181" spans="1:3" x14ac:dyDescent="0.3">
      <c r="A181" t="s">
        <v>27</v>
      </c>
      <c r="B181" t="s">
        <v>13</v>
      </c>
      <c r="C181">
        <v>535</v>
      </c>
    </row>
    <row r="182" spans="1:3" x14ac:dyDescent="0.3">
      <c r="A182" t="s">
        <v>27</v>
      </c>
      <c r="B182" t="s">
        <v>14</v>
      </c>
      <c r="C182">
        <v>606</v>
      </c>
    </row>
    <row r="183" spans="1:3" x14ac:dyDescent="0.3">
      <c r="A183" t="s">
        <v>27</v>
      </c>
      <c r="B183" t="s">
        <v>15</v>
      </c>
      <c r="C183">
        <v>577</v>
      </c>
    </row>
    <row r="184" spans="1:3" x14ac:dyDescent="0.3">
      <c r="A184" t="s">
        <v>28</v>
      </c>
      <c r="B184" t="s">
        <v>2</v>
      </c>
      <c r="C184">
        <v>526</v>
      </c>
    </row>
    <row r="185" spans="1:3" x14ac:dyDescent="0.3">
      <c r="A185" t="s">
        <v>28</v>
      </c>
      <c r="B185" t="s">
        <v>3</v>
      </c>
      <c r="C185">
        <v>563</v>
      </c>
    </row>
    <row r="186" spans="1:3" x14ac:dyDescent="0.3">
      <c r="A186" t="s">
        <v>28</v>
      </c>
      <c r="B186" t="s">
        <v>4</v>
      </c>
      <c r="C186">
        <v>613</v>
      </c>
    </row>
    <row r="187" spans="1:3" x14ac:dyDescent="0.3">
      <c r="A187" t="s">
        <v>28</v>
      </c>
      <c r="B187" t="s">
        <v>5</v>
      </c>
      <c r="C187">
        <v>573</v>
      </c>
    </row>
    <row r="188" spans="1:3" x14ac:dyDescent="0.3">
      <c r="A188" t="s">
        <v>28</v>
      </c>
      <c r="B188" t="s">
        <v>6</v>
      </c>
      <c r="C188">
        <v>621</v>
      </c>
    </row>
    <row r="189" spans="1:3" x14ac:dyDescent="0.3">
      <c r="A189" t="s">
        <v>28</v>
      </c>
      <c r="B189" t="s">
        <v>7</v>
      </c>
      <c r="C189">
        <v>537</v>
      </c>
    </row>
    <row r="190" spans="1:3" x14ac:dyDescent="0.3">
      <c r="A190" t="s">
        <v>28</v>
      </c>
      <c r="B190" t="s">
        <v>8</v>
      </c>
      <c r="C190">
        <v>603</v>
      </c>
    </row>
    <row r="191" spans="1:3" x14ac:dyDescent="0.3">
      <c r="A191" t="s">
        <v>28</v>
      </c>
      <c r="B191" t="s">
        <v>9</v>
      </c>
      <c r="C191">
        <v>574</v>
      </c>
    </row>
    <row r="192" spans="1:3" x14ac:dyDescent="0.3">
      <c r="A192" t="s">
        <v>28</v>
      </c>
      <c r="B192" t="s">
        <v>10</v>
      </c>
      <c r="C192">
        <v>584</v>
      </c>
    </row>
    <row r="193" spans="1:3" x14ac:dyDescent="0.3">
      <c r="A193" t="s">
        <v>28</v>
      </c>
      <c r="B193" t="s">
        <v>11</v>
      </c>
      <c r="C193">
        <v>601</v>
      </c>
    </row>
    <row r="194" spans="1:3" x14ac:dyDescent="0.3">
      <c r="A194" t="s">
        <v>28</v>
      </c>
      <c r="B194" t="s">
        <v>12</v>
      </c>
      <c r="C194">
        <v>546</v>
      </c>
    </row>
    <row r="195" spans="1:3" x14ac:dyDescent="0.3">
      <c r="A195" t="s">
        <v>28</v>
      </c>
      <c r="B195" t="s">
        <v>13</v>
      </c>
      <c r="C195">
        <v>529</v>
      </c>
    </row>
    <row r="196" spans="1:3" x14ac:dyDescent="0.3">
      <c r="A196" t="s">
        <v>28</v>
      </c>
      <c r="B196" t="s">
        <v>14</v>
      </c>
      <c r="C196">
        <v>594</v>
      </c>
    </row>
    <row r="197" spans="1:3" x14ac:dyDescent="0.3">
      <c r="A197" t="s">
        <v>28</v>
      </c>
      <c r="B197" t="s">
        <v>15</v>
      </c>
      <c r="C197">
        <v>699</v>
      </c>
    </row>
    <row r="198" spans="1:3" x14ac:dyDescent="0.3">
      <c r="A198" t="s">
        <v>29</v>
      </c>
      <c r="B198" t="s">
        <v>2</v>
      </c>
      <c r="C198">
        <v>0</v>
      </c>
    </row>
    <row r="199" spans="1:3" x14ac:dyDescent="0.3">
      <c r="A199" t="s">
        <v>29</v>
      </c>
      <c r="B199" t="s">
        <v>3</v>
      </c>
      <c r="C199">
        <v>246</v>
      </c>
    </row>
    <row r="200" spans="1:3" x14ac:dyDescent="0.3">
      <c r="A200" t="s">
        <v>29</v>
      </c>
      <c r="B200" t="s">
        <v>4</v>
      </c>
      <c r="C200">
        <v>284</v>
      </c>
    </row>
    <row r="201" spans="1:3" x14ac:dyDescent="0.3">
      <c r="A201" t="s">
        <v>29</v>
      </c>
      <c r="B201" t="s">
        <v>5</v>
      </c>
      <c r="C201">
        <v>272</v>
      </c>
    </row>
    <row r="202" spans="1:3" x14ac:dyDescent="0.3">
      <c r="A202" t="s">
        <v>29</v>
      </c>
      <c r="B202" t="s">
        <v>6</v>
      </c>
      <c r="C202">
        <v>327</v>
      </c>
    </row>
    <row r="203" spans="1:3" x14ac:dyDescent="0.3">
      <c r="A203" t="s">
        <v>29</v>
      </c>
      <c r="B203" t="s">
        <v>7</v>
      </c>
      <c r="C203">
        <v>347</v>
      </c>
    </row>
    <row r="204" spans="1:3" x14ac:dyDescent="0.3">
      <c r="A204" t="s">
        <v>29</v>
      </c>
      <c r="B204" t="s">
        <v>8</v>
      </c>
      <c r="C204">
        <v>427</v>
      </c>
    </row>
    <row r="205" spans="1:3" x14ac:dyDescent="0.3">
      <c r="A205" t="s">
        <v>29</v>
      </c>
      <c r="B205" t="s">
        <v>9</v>
      </c>
      <c r="C205">
        <v>489</v>
      </c>
    </row>
    <row r="206" spans="1:3" x14ac:dyDescent="0.3">
      <c r="A206" t="s">
        <v>29</v>
      </c>
      <c r="B206" t="s">
        <v>10</v>
      </c>
      <c r="C206">
        <v>454</v>
      </c>
    </row>
    <row r="207" spans="1:3" x14ac:dyDescent="0.3">
      <c r="A207" t="s">
        <v>29</v>
      </c>
      <c r="B207" t="s">
        <v>11</v>
      </c>
      <c r="C207">
        <v>459</v>
      </c>
    </row>
    <row r="208" spans="1:3" x14ac:dyDescent="0.3">
      <c r="A208" t="s">
        <v>29</v>
      </c>
      <c r="B208" t="s">
        <v>12</v>
      </c>
      <c r="C208">
        <v>743</v>
      </c>
    </row>
    <row r="209" spans="1:3" x14ac:dyDescent="0.3">
      <c r="A209" t="s">
        <v>29</v>
      </c>
      <c r="B209" t="s">
        <v>13</v>
      </c>
      <c r="C209">
        <v>1111</v>
      </c>
    </row>
    <row r="210" spans="1:3" x14ac:dyDescent="0.3">
      <c r="A210" t="s">
        <v>29</v>
      </c>
      <c r="B210" t="s">
        <v>14</v>
      </c>
      <c r="C210">
        <v>1146</v>
      </c>
    </row>
    <row r="211" spans="1:3" x14ac:dyDescent="0.3">
      <c r="A211" t="s">
        <v>29</v>
      </c>
      <c r="B211" t="s">
        <v>15</v>
      </c>
      <c r="C211">
        <v>1161</v>
      </c>
    </row>
    <row r="212" spans="1:3" x14ac:dyDescent="0.3">
      <c r="A212" t="s">
        <v>30</v>
      </c>
      <c r="B212" t="s">
        <v>2</v>
      </c>
      <c r="C212">
        <v>480</v>
      </c>
    </row>
    <row r="213" spans="1:3" x14ac:dyDescent="0.3">
      <c r="A213" t="s">
        <v>30</v>
      </c>
      <c r="B213" t="s">
        <v>3</v>
      </c>
      <c r="C213">
        <v>445</v>
      </c>
    </row>
    <row r="214" spans="1:3" x14ac:dyDescent="0.3">
      <c r="A214" t="s">
        <v>30</v>
      </c>
      <c r="B214" t="s">
        <v>4</v>
      </c>
      <c r="C214">
        <v>456</v>
      </c>
    </row>
    <row r="215" spans="1:3" x14ac:dyDescent="0.3">
      <c r="A215" t="s">
        <v>30</v>
      </c>
      <c r="B215" t="s">
        <v>5</v>
      </c>
      <c r="C215">
        <v>484</v>
      </c>
    </row>
    <row r="216" spans="1:3" x14ac:dyDescent="0.3">
      <c r="A216" t="s">
        <v>30</v>
      </c>
      <c r="B216" t="s">
        <v>6</v>
      </c>
      <c r="C216">
        <v>471</v>
      </c>
    </row>
    <row r="217" spans="1:3" x14ac:dyDescent="0.3">
      <c r="A217" t="s">
        <v>30</v>
      </c>
      <c r="B217" t="s">
        <v>7</v>
      </c>
      <c r="C217">
        <v>441</v>
      </c>
    </row>
    <row r="218" spans="1:3" x14ac:dyDescent="0.3">
      <c r="A218" t="s">
        <v>30</v>
      </c>
      <c r="B218" t="s">
        <v>8</v>
      </c>
      <c r="C218">
        <v>473</v>
      </c>
    </row>
    <row r="219" spans="1:3" x14ac:dyDescent="0.3">
      <c r="A219" t="s">
        <v>30</v>
      </c>
      <c r="B219" t="s">
        <v>9</v>
      </c>
      <c r="C219">
        <v>585</v>
      </c>
    </row>
    <row r="220" spans="1:3" x14ac:dyDescent="0.3">
      <c r="A220" t="s">
        <v>30</v>
      </c>
      <c r="B220" t="s">
        <v>10</v>
      </c>
      <c r="C220">
        <v>654</v>
      </c>
    </row>
    <row r="221" spans="1:3" x14ac:dyDescent="0.3">
      <c r="A221" t="s">
        <v>30</v>
      </c>
      <c r="B221" t="s">
        <v>11</v>
      </c>
      <c r="C221">
        <v>620</v>
      </c>
    </row>
    <row r="222" spans="1:3" x14ac:dyDescent="0.3">
      <c r="A222" t="s">
        <v>30</v>
      </c>
      <c r="B222" t="s">
        <v>12</v>
      </c>
      <c r="C222">
        <v>555</v>
      </c>
    </row>
    <row r="223" spans="1:3" x14ac:dyDescent="0.3">
      <c r="A223" t="s">
        <v>30</v>
      </c>
      <c r="B223" t="s">
        <v>13</v>
      </c>
      <c r="C223">
        <v>543</v>
      </c>
    </row>
    <row r="224" spans="1:3" x14ac:dyDescent="0.3">
      <c r="A224" t="s">
        <v>30</v>
      </c>
      <c r="B224" t="s">
        <v>14</v>
      </c>
      <c r="C224">
        <v>569</v>
      </c>
    </row>
    <row r="225" spans="1:3" x14ac:dyDescent="0.3">
      <c r="A225" t="s">
        <v>30</v>
      </c>
      <c r="B225" t="s">
        <v>15</v>
      </c>
      <c r="C225">
        <v>661</v>
      </c>
    </row>
    <row r="226" spans="1:3" x14ac:dyDescent="0.3">
      <c r="A226" t="s">
        <v>31</v>
      </c>
      <c r="B226" t="s">
        <v>2</v>
      </c>
      <c r="C226">
        <v>326</v>
      </c>
    </row>
    <row r="227" spans="1:3" x14ac:dyDescent="0.3">
      <c r="A227" t="s">
        <v>31</v>
      </c>
      <c r="B227" t="s">
        <v>3</v>
      </c>
      <c r="C227">
        <v>359</v>
      </c>
    </row>
    <row r="228" spans="1:3" x14ac:dyDescent="0.3">
      <c r="A228" t="s">
        <v>31</v>
      </c>
      <c r="B228" t="s">
        <v>4</v>
      </c>
      <c r="C228">
        <v>325</v>
      </c>
    </row>
    <row r="229" spans="1:3" x14ac:dyDescent="0.3">
      <c r="A229" t="s">
        <v>31</v>
      </c>
      <c r="B229" t="s">
        <v>5</v>
      </c>
      <c r="C229">
        <v>379</v>
      </c>
    </row>
    <row r="230" spans="1:3" x14ac:dyDescent="0.3">
      <c r="A230" t="s">
        <v>31</v>
      </c>
      <c r="B230" t="s">
        <v>6</v>
      </c>
      <c r="C230">
        <v>386</v>
      </c>
    </row>
    <row r="231" spans="1:3" x14ac:dyDescent="0.3">
      <c r="A231" t="s">
        <v>31</v>
      </c>
      <c r="B231" t="s">
        <v>7</v>
      </c>
      <c r="C231">
        <v>449</v>
      </c>
    </row>
    <row r="232" spans="1:3" x14ac:dyDescent="0.3">
      <c r="A232" t="s">
        <v>31</v>
      </c>
      <c r="B232" t="s">
        <v>8</v>
      </c>
      <c r="C232">
        <v>454</v>
      </c>
    </row>
    <row r="233" spans="1:3" x14ac:dyDescent="0.3">
      <c r="A233" t="s">
        <v>31</v>
      </c>
      <c r="B233" t="s">
        <v>9</v>
      </c>
      <c r="C233">
        <v>490</v>
      </c>
    </row>
    <row r="234" spans="1:3" x14ac:dyDescent="0.3">
      <c r="A234" t="s">
        <v>31</v>
      </c>
      <c r="B234" t="s">
        <v>10</v>
      </c>
      <c r="C234">
        <v>541</v>
      </c>
    </row>
    <row r="235" spans="1:3" x14ac:dyDescent="0.3">
      <c r="A235" t="s">
        <v>31</v>
      </c>
      <c r="B235" t="s">
        <v>11</v>
      </c>
      <c r="C235">
        <v>573</v>
      </c>
    </row>
    <row r="236" spans="1:3" x14ac:dyDescent="0.3">
      <c r="A236" t="s">
        <v>31</v>
      </c>
      <c r="B236" t="s">
        <v>12</v>
      </c>
      <c r="C236">
        <v>664</v>
      </c>
    </row>
    <row r="237" spans="1:3" x14ac:dyDescent="0.3">
      <c r="A237" t="s">
        <v>31</v>
      </c>
      <c r="B237" t="s">
        <v>13</v>
      </c>
      <c r="C237">
        <v>650</v>
      </c>
    </row>
    <row r="238" spans="1:3" x14ac:dyDescent="0.3">
      <c r="A238" t="s">
        <v>31</v>
      </c>
      <c r="B238" t="s">
        <v>14</v>
      </c>
      <c r="C238">
        <v>744</v>
      </c>
    </row>
    <row r="239" spans="1:3" x14ac:dyDescent="0.3">
      <c r="A239" t="s">
        <v>31</v>
      </c>
      <c r="B239" t="s">
        <v>15</v>
      </c>
      <c r="C239">
        <v>697</v>
      </c>
    </row>
    <row r="240" spans="1:3" x14ac:dyDescent="0.3">
      <c r="A240" t="s">
        <v>32</v>
      </c>
      <c r="B240" t="s">
        <v>2</v>
      </c>
      <c r="C240">
        <v>391</v>
      </c>
    </row>
    <row r="241" spans="1:3" x14ac:dyDescent="0.3">
      <c r="A241" t="s">
        <v>32</v>
      </c>
      <c r="B241" t="s">
        <v>3</v>
      </c>
      <c r="C241">
        <v>439</v>
      </c>
    </row>
    <row r="242" spans="1:3" x14ac:dyDescent="0.3">
      <c r="A242" t="s">
        <v>32</v>
      </c>
      <c r="B242" t="s">
        <v>4</v>
      </c>
      <c r="C242">
        <v>446</v>
      </c>
    </row>
    <row r="243" spans="1:3" x14ac:dyDescent="0.3">
      <c r="A243" t="s">
        <v>32</v>
      </c>
      <c r="B243" t="s">
        <v>5</v>
      </c>
      <c r="C243">
        <v>441</v>
      </c>
    </row>
    <row r="244" spans="1:3" x14ac:dyDescent="0.3">
      <c r="A244" t="s">
        <v>32</v>
      </c>
      <c r="B244" t="s">
        <v>6</v>
      </c>
      <c r="C244">
        <v>454</v>
      </c>
    </row>
    <row r="245" spans="1:3" x14ac:dyDescent="0.3">
      <c r="A245" t="s">
        <v>32</v>
      </c>
      <c r="B245" t="s">
        <v>7</v>
      </c>
      <c r="C245">
        <v>454</v>
      </c>
    </row>
    <row r="246" spans="1:3" x14ac:dyDescent="0.3">
      <c r="A246" t="s">
        <v>32</v>
      </c>
      <c r="B246" t="s">
        <v>8</v>
      </c>
      <c r="C246">
        <v>452</v>
      </c>
    </row>
    <row r="247" spans="1:3" x14ac:dyDescent="0.3">
      <c r="A247" t="s">
        <v>32</v>
      </c>
      <c r="B247" t="s">
        <v>9</v>
      </c>
      <c r="C247">
        <v>444</v>
      </c>
    </row>
    <row r="248" spans="1:3" x14ac:dyDescent="0.3">
      <c r="A248" t="s">
        <v>32</v>
      </c>
      <c r="B248" t="s">
        <v>10</v>
      </c>
      <c r="C248">
        <v>464</v>
      </c>
    </row>
    <row r="249" spans="1:3" x14ac:dyDescent="0.3">
      <c r="A249" t="s">
        <v>32</v>
      </c>
      <c r="B249" t="s">
        <v>11</v>
      </c>
      <c r="C249">
        <v>492</v>
      </c>
    </row>
    <row r="250" spans="1:3" x14ac:dyDescent="0.3">
      <c r="A250" t="s">
        <v>32</v>
      </c>
      <c r="B250" t="s">
        <v>12</v>
      </c>
      <c r="C250">
        <v>431</v>
      </c>
    </row>
    <row r="251" spans="1:3" x14ac:dyDescent="0.3">
      <c r="A251" t="s">
        <v>32</v>
      </c>
      <c r="B251" t="s">
        <v>13</v>
      </c>
      <c r="C251">
        <v>488</v>
      </c>
    </row>
    <row r="252" spans="1:3" x14ac:dyDescent="0.3">
      <c r="A252" t="s">
        <v>32</v>
      </c>
      <c r="B252" t="s">
        <v>14</v>
      </c>
      <c r="C252">
        <v>603</v>
      </c>
    </row>
    <row r="253" spans="1:3" x14ac:dyDescent="0.3">
      <c r="A253" t="s">
        <v>32</v>
      </c>
      <c r="B253" t="s">
        <v>15</v>
      </c>
      <c r="C253">
        <v>620</v>
      </c>
    </row>
    <row r="254" spans="1:3" x14ac:dyDescent="0.3">
      <c r="A254" t="s">
        <v>33</v>
      </c>
      <c r="B254" t="s">
        <v>2</v>
      </c>
      <c r="C254">
        <v>486</v>
      </c>
    </row>
    <row r="255" spans="1:3" x14ac:dyDescent="0.3">
      <c r="A255" t="s">
        <v>33</v>
      </c>
      <c r="B255" t="s">
        <v>3</v>
      </c>
      <c r="C255">
        <v>509</v>
      </c>
    </row>
    <row r="256" spans="1:3" x14ac:dyDescent="0.3">
      <c r="A256" t="s">
        <v>33</v>
      </c>
      <c r="B256" t="s">
        <v>4</v>
      </c>
      <c r="C256">
        <v>474</v>
      </c>
    </row>
    <row r="257" spans="1:3" x14ac:dyDescent="0.3">
      <c r="A257" t="s">
        <v>33</v>
      </c>
      <c r="B257" t="s">
        <v>5</v>
      </c>
      <c r="C257">
        <v>492</v>
      </c>
    </row>
    <row r="258" spans="1:3" x14ac:dyDescent="0.3">
      <c r="A258" t="s">
        <v>33</v>
      </c>
      <c r="B258" t="s">
        <v>6</v>
      </c>
      <c r="C258">
        <v>485</v>
      </c>
    </row>
    <row r="259" spans="1:3" x14ac:dyDescent="0.3">
      <c r="A259" t="s">
        <v>33</v>
      </c>
      <c r="B259" t="s">
        <v>7</v>
      </c>
      <c r="C259">
        <v>433</v>
      </c>
    </row>
    <row r="260" spans="1:3" x14ac:dyDescent="0.3">
      <c r="A260" t="s">
        <v>33</v>
      </c>
      <c r="B260" t="s">
        <v>8</v>
      </c>
      <c r="C260">
        <v>460</v>
      </c>
    </row>
    <row r="261" spans="1:3" x14ac:dyDescent="0.3">
      <c r="A261" t="s">
        <v>33</v>
      </c>
      <c r="B261" t="s">
        <v>9</v>
      </c>
      <c r="C261">
        <v>428</v>
      </c>
    </row>
    <row r="262" spans="1:3" x14ac:dyDescent="0.3">
      <c r="A262" t="s">
        <v>33</v>
      </c>
      <c r="B262" t="s">
        <v>10</v>
      </c>
      <c r="C262">
        <v>379</v>
      </c>
    </row>
    <row r="263" spans="1:3" x14ac:dyDescent="0.3">
      <c r="A263" t="s">
        <v>33</v>
      </c>
      <c r="B263" t="s">
        <v>11</v>
      </c>
      <c r="C263">
        <v>374</v>
      </c>
    </row>
    <row r="264" spans="1:3" x14ac:dyDescent="0.3">
      <c r="A264" t="s">
        <v>33</v>
      </c>
      <c r="B264" t="s">
        <v>12</v>
      </c>
      <c r="C264">
        <v>395</v>
      </c>
    </row>
    <row r="265" spans="1:3" x14ac:dyDescent="0.3">
      <c r="A265" t="s">
        <v>33</v>
      </c>
      <c r="B265" t="s">
        <v>13</v>
      </c>
      <c r="C265">
        <v>352</v>
      </c>
    </row>
    <row r="266" spans="1:3" x14ac:dyDescent="0.3">
      <c r="A266" t="s">
        <v>33</v>
      </c>
      <c r="B266" t="s">
        <v>14</v>
      </c>
      <c r="C266">
        <v>366</v>
      </c>
    </row>
    <row r="267" spans="1:3" x14ac:dyDescent="0.3">
      <c r="A267" t="s">
        <v>33</v>
      </c>
      <c r="B267" t="s">
        <v>15</v>
      </c>
      <c r="C267">
        <v>348</v>
      </c>
    </row>
    <row r="268" spans="1:3" x14ac:dyDescent="0.3">
      <c r="A268" t="s">
        <v>34</v>
      </c>
      <c r="B268" t="s">
        <v>2</v>
      </c>
      <c r="C268">
        <v>343</v>
      </c>
    </row>
    <row r="269" spans="1:3" x14ac:dyDescent="0.3">
      <c r="A269" t="s">
        <v>34</v>
      </c>
      <c r="B269" t="s">
        <v>3</v>
      </c>
      <c r="C269">
        <v>373</v>
      </c>
    </row>
    <row r="270" spans="1:3" x14ac:dyDescent="0.3">
      <c r="A270" t="s">
        <v>34</v>
      </c>
      <c r="B270" t="s">
        <v>4</v>
      </c>
      <c r="C270">
        <v>356</v>
      </c>
    </row>
    <row r="271" spans="1:3" x14ac:dyDescent="0.3">
      <c r="A271" t="s">
        <v>34</v>
      </c>
      <c r="B271" t="s">
        <v>5</v>
      </c>
      <c r="C271">
        <v>366</v>
      </c>
    </row>
    <row r="272" spans="1:3" x14ac:dyDescent="0.3">
      <c r="A272" t="s">
        <v>34</v>
      </c>
      <c r="B272" t="s">
        <v>6</v>
      </c>
      <c r="C272">
        <v>406</v>
      </c>
    </row>
    <row r="273" spans="1:3" x14ac:dyDescent="0.3">
      <c r="A273" t="s">
        <v>34</v>
      </c>
      <c r="B273" t="s">
        <v>7</v>
      </c>
      <c r="C273">
        <v>409</v>
      </c>
    </row>
    <row r="274" spans="1:3" x14ac:dyDescent="0.3">
      <c r="A274" t="s">
        <v>34</v>
      </c>
      <c r="B274" t="s">
        <v>8</v>
      </c>
      <c r="C274">
        <v>462</v>
      </c>
    </row>
    <row r="275" spans="1:3" x14ac:dyDescent="0.3">
      <c r="A275" t="s">
        <v>34</v>
      </c>
      <c r="B275" t="s">
        <v>9</v>
      </c>
      <c r="C275">
        <v>441</v>
      </c>
    </row>
    <row r="276" spans="1:3" x14ac:dyDescent="0.3">
      <c r="A276" t="s">
        <v>34</v>
      </c>
      <c r="B276" t="s">
        <v>10</v>
      </c>
      <c r="C276">
        <v>426</v>
      </c>
    </row>
    <row r="277" spans="1:3" x14ac:dyDescent="0.3">
      <c r="A277" t="s">
        <v>34</v>
      </c>
      <c r="B277" t="s">
        <v>11</v>
      </c>
      <c r="C277">
        <v>428</v>
      </c>
    </row>
    <row r="278" spans="1:3" x14ac:dyDescent="0.3">
      <c r="A278" t="s">
        <v>34</v>
      </c>
      <c r="B278" t="s">
        <v>12</v>
      </c>
      <c r="C278">
        <v>386</v>
      </c>
    </row>
    <row r="279" spans="1:3" x14ac:dyDescent="0.3">
      <c r="A279" t="s">
        <v>34</v>
      </c>
      <c r="B279" t="s">
        <v>13</v>
      </c>
      <c r="C279">
        <v>456</v>
      </c>
    </row>
    <row r="280" spans="1:3" x14ac:dyDescent="0.3">
      <c r="A280" t="s">
        <v>34</v>
      </c>
      <c r="B280" t="s">
        <v>14</v>
      </c>
      <c r="C280">
        <v>493</v>
      </c>
    </row>
    <row r="281" spans="1:3" x14ac:dyDescent="0.3">
      <c r="A281" t="s">
        <v>34</v>
      </c>
      <c r="B281" t="s">
        <v>15</v>
      </c>
      <c r="C281">
        <v>539</v>
      </c>
    </row>
    <row r="282" spans="1:3" x14ac:dyDescent="0.3">
      <c r="A282" t="s">
        <v>35</v>
      </c>
      <c r="B282" t="s">
        <v>2</v>
      </c>
      <c r="C282">
        <v>391</v>
      </c>
    </row>
    <row r="283" spans="1:3" x14ac:dyDescent="0.3">
      <c r="A283" t="s">
        <v>35</v>
      </c>
      <c r="B283" t="s">
        <v>3</v>
      </c>
      <c r="C283">
        <v>430</v>
      </c>
    </row>
    <row r="284" spans="1:3" x14ac:dyDescent="0.3">
      <c r="A284" t="s">
        <v>35</v>
      </c>
      <c r="B284" t="s">
        <v>4</v>
      </c>
      <c r="C284">
        <v>462</v>
      </c>
    </row>
    <row r="285" spans="1:3" x14ac:dyDescent="0.3">
      <c r="A285" t="s">
        <v>35</v>
      </c>
      <c r="B285" t="s">
        <v>5</v>
      </c>
      <c r="C285">
        <v>392</v>
      </c>
    </row>
    <row r="286" spans="1:3" x14ac:dyDescent="0.3">
      <c r="A286" t="s">
        <v>35</v>
      </c>
      <c r="B286" t="s">
        <v>6</v>
      </c>
      <c r="C286">
        <v>434</v>
      </c>
    </row>
    <row r="287" spans="1:3" x14ac:dyDescent="0.3">
      <c r="A287" t="s">
        <v>35</v>
      </c>
      <c r="B287" t="s">
        <v>7</v>
      </c>
      <c r="C287">
        <v>396</v>
      </c>
    </row>
    <row r="288" spans="1:3" x14ac:dyDescent="0.3">
      <c r="A288" t="s">
        <v>35</v>
      </c>
      <c r="B288" t="s">
        <v>8</v>
      </c>
      <c r="C288">
        <v>459</v>
      </c>
    </row>
    <row r="289" spans="1:3" x14ac:dyDescent="0.3">
      <c r="A289" t="s">
        <v>35</v>
      </c>
      <c r="B289" t="s">
        <v>9</v>
      </c>
      <c r="C289">
        <v>441</v>
      </c>
    </row>
    <row r="290" spans="1:3" x14ac:dyDescent="0.3">
      <c r="A290" t="s">
        <v>35</v>
      </c>
      <c r="B290" t="s">
        <v>10</v>
      </c>
      <c r="C290">
        <v>418</v>
      </c>
    </row>
    <row r="291" spans="1:3" x14ac:dyDescent="0.3">
      <c r="A291" t="s">
        <v>35</v>
      </c>
      <c r="B291" t="s">
        <v>11</v>
      </c>
      <c r="C291">
        <v>411</v>
      </c>
    </row>
    <row r="292" spans="1:3" x14ac:dyDescent="0.3">
      <c r="A292" t="s">
        <v>35</v>
      </c>
      <c r="B292" t="s">
        <v>12</v>
      </c>
      <c r="C292">
        <v>363</v>
      </c>
    </row>
    <row r="293" spans="1:3" x14ac:dyDescent="0.3">
      <c r="A293" t="s">
        <v>35</v>
      </c>
      <c r="B293" t="s">
        <v>13</v>
      </c>
      <c r="C293">
        <v>392</v>
      </c>
    </row>
    <row r="294" spans="1:3" x14ac:dyDescent="0.3">
      <c r="A294" t="s">
        <v>35</v>
      </c>
      <c r="B294" t="s">
        <v>14</v>
      </c>
      <c r="C294">
        <v>347</v>
      </c>
    </row>
    <row r="295" spans="1:3" x14ac:dyDescent="0.3">
      <c r="A295" t="s">
        <v>35</v>
      </c>
      <c r="B295" t="s">
        <v>15</v>
      </c>
      <c r="C295">
        <v>442</v>
      </c>
    </row>
    <row r="296" spans="1:3" x14ac:dyDescent="0.3">
      <c r="A296" t="s">
        <v>36</v>
      </c>
      <c r="B296" t="s">
        <v>2</v>
      </c>
      <c r="C296">
        <v>377</v>
      </c>
    </row>
    <row r="297" spans="1:3" x14ac:dyDescent="0.3">
      <c r="A297" t="s">
        <v>36</v>
      </c>
      <c r="B297" t="s">
        <v>3</v>
      </c>
      <c r="C297">
        <v>397</v>
      </c>
    </row>
    <row r="298" spans="1:3" x14ac:dyDescent="0.3">
      <c r="A298" t="s">
        <v>36</v>
      </c>
      <c r="B298" t="s">
        <v>4</v>
      </c>
      <c r="C298">
        <v>443</v>
      </c>
    </row>
    <row r="299" spans="1:3" x14ac:dyDescent="0.3">
      <c r="A299" t="s">
        <v>36</v>
      </c>
      <c r="B299" t="s">
        <v>5</v>
      </c>
      <c r="C299">
        <v>437</v>
      </c>
    </row>
    <row r="300" spans="1:3" x14ac:dyDescent="0.3">
      <c r="A300" t="s">
        <v>36</v>
      </c>
      <c r="B300" t="s">
        <v>6</v>
      </c>
      <c r="C300">
        <v>407</v>
      </c>
    </row>
    <row r="301" spans="1:3" x14ac:dyDescent="0.3">
      <c r="A301" t="s">
        <v>36</v>
      </c>
      <c r="B301" t="s">
        <v>7</v>
      </c>
      <c r="C301">
        <v>430</v>
      </c>
    </row>
    <row r="302" spans="1:3" x14ac:dyDescent="0.3">
      <c r="A302" t="s">
        <v>36</v>
      </c>
      <c r="B302" t="s">
        <v>8</v>
      </c>
      <c r="C302">
        <v>389</v>
      </c>
    </row>
    <row r="303" spans="1:3" x14ac:dyDescent="0.3">
      <c r="A303" t="s">
        <v>36</v>
      </c>
      <c r="B303" t="s">
        <v>9</v>
      </c>
      <c r="C303">
        <v>472</v>
      </c>
    </row>
    <row r="304" spans="1:3" x14ac:dyDescent="0.3">
      <c r="A304" t="s">
        <v>36</v>
      </c>
      <c r="B304" t="s">
        <v>10</v>
      </c>
      <c r="C304">
        <v>449</v>
      </c>
    </row>
    <row r="305" spans="1:3" x14ac:dyDescent="0.3">
      <c r="A305" t="s">
        <v>36</v>
      </c>
      <c r="B305" t="s">
        <v>11</v>
      </c>
      <c r="C305">
        <v>487</v>
      </c>
    </row>
    <row r="306" spans="1:3" x14ac:dyDescent="0.3">
      <c r="A306" t="s">
        <v>36</v>
      </c>
      <c r="B306" t="s">
        <v>12</v>
      </c>
      <c r="C306">
        <v>338</v>
      </c>
    </row>
    <row r="307" spans="1:3" x14ac:dyDescent="0.3">
      <c r="A307" t="s">
        <v>36</v>
      </c>
      <c r="B307" t="s">
        <v>13</v>
      </c>
      <c r="C307">
        <v>346</v>
      </c>
    </row>
    <row r="308" spans="1:3" x14ac:dyDescent="0.3">
      <c r="A308" t="s">
        <v>36</v>
      </c>
      <c r="B308" t="s">
        <v>14</v>
      </c>
      <c r="C308">
        <v>365</v>
      </c>
    </row>
    <row r="309" spans="1:3" x14ac:dyDescent="0.3">
      <c r="A309" t="s">
        <v>36</v>
      </c>
      <c r="B309" t="s">
        <v>15</v>
      </c>
      <c r="C309">
        <v>435</v>
      </c>
    </row>
    <row r="310" spans="1:3" x14ac:dyDescent="0.3">
      <c r="A310" t="s">
        <v>37</v>
      </c>
      <c r="B310" t="s">
        <v>2</v>
      </c>
      <c r="C310">
        <v>330</v>
      </c>
    </row>
    <row r="311" spans="1:3" x14ac:dyDescent="0.3">
      <c r="A311" t="s">
        <v>37</v>
      </c>
      <c r="B311" t="s">
        <v>3</v>
      </c>
      <c r="C311">
        <v>346</v>
      </c>
    </row>
    <row r="312" spans="1:3" x14ac:dyDescent="0.3">
      <c r="A312" t="s">
        <v>37</v>
      </c>
      <c r="B312" t="s">
        <v>4</v>
      </c>
      <c r="C312">
        <v>309</v>
      </c>
    </row>
    <row r="313" spans="1:3" x14ac:dyDescent="0.3">
      <c r="A313" t="s">
        <v>37</v>
      </c>
      <c r="B313" t="s">
        <v>5</v>
      </c>
      <c r="C313">
        <v>327</v>
      </c>
    </row>
    <row r="314" spans="1:3" x14ac:dyDescent="0.3">
      <c r="A314" t="s">
        <v>37</v>
      </c>
      <c r="B314" t="s">
        <v>6</v>
      </c>
      <c r="C314">
        <v>296</v>
      </c>
    </row>
    <row r="315" spans="1:3" x14ac:dyDescent="0.3">
      <c r="A315" t="s">
        <v>37</v>
      </c>
      <c r="B315" t="s">
        <v>7</v>
      </c>
      <c r="C315">
        <v>342</v>
      </c>
    </row>
    <row r="316" spans="1:3" x14ac:dyDescent="0.3">
      <c r="A316" t="s">
        <v>37</v>
      </c>
      <c r="B316" t="s">
        <v>8</v>
      </c>
      <c r="C316">
        <v>360</v>
      </c>
    </row>
    <row r="317" spans="1:3" x14ac:dyDescent="0.3">
      <c r="A317" t="s">
        <v>37</v>
      </c>
      <c r="B317" t="s">
        <v>9</v>
      </c>
      <c r="C317">
        <v>358</v>
      </c>
    </row>
    <row r="318" spans="1:3" x14ac:dyDescent="0.3">
      <c r="A318" t="s">
        <v>37</v>
      </c>
      <c r="B318" t="s">
        <v>10</v>
      </c>
      <c r="C318">
        <v>392</v>
      </c>
    </row>
    <row r="319" spans="1:3" x14ac:dyDescent="0.3">
      <c r="A319" t="s">
        <v>37</v>
      </c>
      <c r="B319" t="s">
        <v>11</v>
      </c>
      <c r="C319">
        <v>415</v>
      </c>
    </row>
    <row r="320" spans="1:3" x14ac:dyDescent="0.3">
      <c r="A320" t="s">
        <v>37</v>
      </c>
      <c r="B320" t="s">
        <v>12</v>
      </c>
      <c r="C320">
        <v>466</v>
      </c>
    </row>
    <row r="321" spans="1:3" x14ac:dyDescent="0.3">
      <c r="A321" t="s">
        <v>37</v>
      </c>
      <c r="B321" t="s">
        <v>13</v>
      </c>
      <c r="C321">
        <v>486</v>
      </c>
    </row>
    <row r="322" spans="1:3" x14ac:dyDescent="0.3">
      <c r="A322" t="s">
        <v>37</v>
      </c>
      <c r="B322" t="s">
        <v>14</v>
      </c>
      <c r="C322">
        <v>489</v>
      </c>
    </row>
    <row r="323" spans="1:3" x14ac:dyDescent="0.3">
      <c r="A323" t="s">
        <v>37</v>
      </c>
      <c r="B323" t="s">
        <v>15</v>
      </c>
      <c r="C323">
        <v>533</v>
      </c>
    </row>
    <row r="324" spans="1:3" x14ac:dyDescent="0.3">
      <c r="A324" t="s">
        <v>38</v>
      </c>
      <c r="B324" t="s">
        <v>2</v>
      </c>
      <c r="C324">
        <v>284</v>
      </c>
    </row>
    <row r="325" spans="1:3" x14ac:dyDescent="0.3">
      <c r="A325" t="s">
        <v>38</v>
      </c>
      <c r="B325" t="s">
        <v>3</v>
      </c>
      <c r="C325">
        <v>258</v>
      </c>
    </row>
    <row r="326" spans="1:3" x14ac:dyDescent="0.3">
      <c r="A326" t="s">
        <v>38</v>
      </c>
      <c r="B326" t="s">
        <v>4</v>
      </c>
      <c r="C326">
        <v>308</v>
      </c>
    </row>
    <row r="327" spans="1:3" x14ac:dyDescent="0.3">
      <c r="A327" t="s">
        <v>38</v>
      </c>
      <c r="B327" t="s">
        <v>5</v>
      </c>
      <c r="C327">
        <v>330</v>
      </c>
    </row>
    <row r="328" spans="1:3" x14ac:dyDescent="0.3">
      <c r="A328" t="s">
        <v>38</v>
      </c>
      <c r="B328" t="s">
        <v>6</v>
      </c>
      <c r="C328">
        <v>317</v>
      </c>
    </row>
    <row r="329" spans="1:3" x14ac:dyDescent="0.3">
      <c r="A329" t="s">
        <v>38</v>
      </c>
      <c r="B329" t="s">
        <v>7</v>
      </c>
      <c r="C329">
        <v>367</v>
      </c>
    </row>
    <row r="330" spans="1:3" x14ac:dyDescent="0.3">
      <c r="A330" t="s">
        <v>38</v>
      </c>
      <c r="B330" t="s">
        <v>8</v>
      </c>
      <c r="C330">
        <v>332</v>
      </c>
    </row>
    <row r="331" spans="1:3" x14ac:dyDescent="0.3">
      <c r="A331" t="s">
        <v>38</v>
      </c>
      <c r="B331" t="s">
        <v>9</v>
      </c>
      <c r="C331">
        <v>336</v>
      </c>
    </row>
    <row r="332" spans="1:3" x14ac:dyDescent="0.3">
      <c r="A332" t="s">
        <v>38</v>
      </c>
      <c r="B332" t="s">
        <v>10</v>
      </c>
      <c r="C332">
        <v>349</v>
      </c>
    </row>
    <row r="333" spans="1:3" x14ac:dyDescent="0.3">
      <c r="A333" t="s">
        <v>38</v>
      </c>
      <c r="B333" t="s">
        <v>11</v>
      </c>
      <c r="C333">
        <v>331</v>
      </c>
    </row>
    <row r="334" spans="1:3" x14ac:dyDescent="0.3">
      <c r="A334" t="s">
        <v>38</v>
      </c>
      <c r="B334" t="s">
        <v>12</v>
      </c>
      <c r="C334">
        <v>343</v>
      </c>
    </row>
    <row r="335" spans="1:3" x14ac:dyDescent="0.3">
      <c r="A335" t="s">
        <v>38</v>
      </c>
      <c r="B335" t="s">
        <v>13</v>
      </c>
      <c r="C335">
        <v>420</v>
      </c>
    </row>
    <row r="336" spans="1:3" x14ac:dyDescent="0.3">
      <c r="A336" t="s">
        <v>38</v>
      </c>
      <c r="B336" t="s">
        <v>14</v>
      </c>
      <c r="C336">
        <v>407</v>
      </c>
    </row>
    <row r="337" spans="1:3" x14ac:dyDescent="0.3">
      <c r="A337" t="s">
        <v>38</v>
      </c>
      <c r="B337" t="s">
        <v>15</v>
      </c>
      <c r="C337">
        <v>381</v>
      </c>
    </row>
    <row r="338" spans="1:3" x14ac:dyDescent="0.3">
      <c r="A338" t="s">
        <v>39</v>
      </c>
      <c r="B338" t="s">
        <v>2</v>
      </c>
      <c r="C338">
        <v>264</v>
      </c>
    </row>
    <row r="339" spans="1:3" x14ac:dyDescent="0.3">
      <c r="A339" t="s">
        <v>39</v>
      </c>
      <c r="B339" t="s">
        <v>3</v>
      </c>
      <c r="C339">
        <v>291</v>
      </c>
    </row>
    <row r="340" spans="1:3" x14ac:dyDescent="0.3">
      <c r="A340" t="s">
        <v>39</v>
      </c>
      <c r="B340" t="s">
        <v>4</v>
      </c>
      <c r="C340">
        <v>274</v>
      </c>
    </row>
    <row r="341" spans="1:3" x14ac:dyDescent="0.3">
      <c r="A341" t="s">
        <v>39</v>
      </c>
      <c r="B341" t="s">
        <v>5</v>
      </c>
      <c r="C341">
        <v>271</v>
      </c>
    </row>
    <row r="342" spans="1:3" x14ac:dyDescent="0.3">
      <c r="A342" t="s">
        <v>39</v>
      </c>
      <c r="B342" t="s">
        <v>6</v>
      </c>
      <c r="C342">
        <v>308</v>
      </c>
    </row>
    <row r="343" spans="1:3" x14ac:dyDescent="0.3">
      <c r="A343" t="s">
        <v>39</v>
      </c>
      <c r="B343" t="s">
        <v>7</v>
      </c>
      <c r="C343">
        <v>291</v>
      </c>
    </row>
    <row r="344" spans="1:3" x14ac:dyDescent="0.3">
      <c r="A344" t="s">
        <v>39</v>
      </c>
      <c r="B344" t="s">
        <v>8</v>
      </c>
      <c r="C344">
        <v>312</v>
      </c>
    </row>
    <row r="345" spans="1:3" x14ac:dyDescent="0.3">
      <c r="A345" t="s">
        <v>39</v>
      </c>
      <c r="B345" t="s">
        <v>9</v>
      </c>
      <c r="C345">
        <v>287</v>
      </c>
    </row>
    <row r="346" spans="1:3" x14ac:dyDescent="0.3">
      <c r="A346" t="s">
        <v>39</v>
      </c>
      <c r="B346" t="s">
        <v>10</v>
      </c>
      <c r="C346">
        <v>306</v>
      </c>
    </row>
    <row r="347" spans="1:3" x14ac:dyDescent="0.3">
      <c r="A347" t="s">
        <v>39</v>
      </c>
      <c r="B347" t="s">
        <v>11</v>
      </c>
      <c r="C347">
        <v>286</v>
      </c>
    </row>
    <row r="348" spans="1:3" x14ac:dyDescent="0.3">
      <c r="A348" t="s">
        <v>39</v>
      </c>
      <c r="B348" t="s">
        <v>12</v>
      </c>
      <c r="C348">
        <v>315</v>
      </c>
    </row>
    <row r="349" spans="1:3" x14ac:dyDescent="0.3">
      <c r="A349" t="s">
        <v>39</v>
      </c>
      <c r="B349" t="s">
        <v>13</v>
      </c>
      <c r="C349">
        <v>302</v>
      </c>
    </row>
    <row r="350" spans="1:3" x14ac:dyDescent="0.3">
      <c r="A350" t="s">
        <v>39</v>
      </c>
      <c r="B350" t="s">
        <v>14</v>
      </c>
      <c r="C350">
        <v>283</v>
      </c>
    </row>
    <row r="351" spans="1:3" x14ac:dyDescent="0.3">
      <c r="A351" t="s">
        <v>39</v>
      </c>
      <c r="B351" t="s">
        <v>15</v>
      </c>
      <c r="C351">
        <v>251</v>
      </c>
    </row>
    <row r="352" spans="1:3" x14ac:dyDescent="0.3">
      <c r="A352" t="s">
        <v>40</v>
      </c>
      <c r="B352" t="s">
        <v>2</v>
      </c>
      <c r="C352">
        <v>240</v>
      </c>
    </row>
    <row r="353" spans="1:3" x14ac:dyDescent="0.3">
      <c r="A353" t="s">
        <v>40</v>
      </c>
      <c r="B353" t="s">
        <v>3</v>
      </c>
      <c r="C353">
        <v>288</v>
      </c>
    </row>
    <row r="354" spans="1:3" x14ac:dyDescent="0.3">
      <c r="A354" t="s">
        <v>40</v>
      </c>
      <c r="B354" t="s">
        <v>4</v>
      </c>
      <c r="C354">
        <v>249</v>
      </c>
    </row>
    <row r="355" spans="1:3" x14ac:dyDescent="0.3">
      <c r="A355" t="s">
        <v>40</v>
      </c>
      <c r="B355" t="s">
        <v>5</v>
      </c>
      <c r="C355">
        <v>187</v>
      </c>
    </row>
    <row r="356" spans="1:3" x14ac:dyDescent="0.3">
      <c r="A356" t="s">
        <v>40</v>
      </c>
      <c r="B356" t="s">
        <v>6</v>
      </c>
      <c r="C356">
        <v>220</v>
      </c>
    </row>
    <row r="357" spans="1:3" x14ac:dyDescent="0.3">
      <c r="A357" t="s">
        <v>40</v>
      </c>
      <c r="B357" t="s">
        <v>7</v>
      </c>
      <c r="C357">
        <v>239</v>
      </c>
    </row>
    <row r="358" spans="1:3" x14ac:dyDescent="0.3">
      <c r="A358" t="s">
        <v>40</v>
      </c>
      <c r="B358" t="s">
        <v>8</v>
      </c>
      <c r="C358">
        <v>229</v>
      </c>
    </row>
    <row r="359" spans="1:3" x14ac:dyDescent="0.3">
      <c r="A359" t="s">
        <v>40</v>
      </c>
      <c r="B359" t="s">
        <v>9</v>
      </c>
      <c r="C359">
        <v>221</v>
      </c>
    </row>
    <row r="360" spans="1:3" x14ac:dyDescent="0.3">
      <c r="A360" t="s">
        <v>40</v>
      </c>
      <c r="B360" t="s">
        <v>10</v>
      </c>
      <c r="C360">
        <v>296</v>
      </c>
    </row>
    <row r="361" spans="1:3" x14ac:dyDescent="0.3">
      <c r="A361" t="s">
        <v>40</v>
      </c>
      <c r="B361" t="s">
        <v>11</v>
      </c>
      <c r="C361">
        <v>304</v>
      </c>
    </row>
    <row r="362" spans="1:3" x14ac:dyDescent="0.3">
      <c r="A362" t="s">
        <v>40</v>
      </c>
      <c r="B362" t="s">
        <v>12</v>
      </c>
      <c r="C362">
        <v>287</v>
      </c>
    </row>
    <row r="363" spans="1:3" x14ac:dyDescent="0.3">
      <c r="A363" t="s">
        <v>40</v>
      </c>
      <c r="B363" t="s">
        <v>13</v>
      </c>
      <c r="C363">
        <v>342</v>
      </c>
    </row>
    <row r="364" spans="1:3" x14ac:dyDescent="0.3">
      <c r="A364" t="s">
        <v>40</v>
      </c>
      <c r="B364" t="s">
        <v>14</v>
      </c>
      <c r="C364">
        <v>367</v>
      </c>
    </row>
    <row r="365" spans="1:3" x14ac:dyDescent="0.3">
      <c r="A365" t="s">
        <v>40</v>
      </c>
      <c r="B365" t="s">
        <v>15</v>
      </c>
      <c r="C365">
        <v>338</v>
      </c>
    </row>
    <row r="366" spans="1:3" x14ac:dyDescent="0.3">
      <c r="A366" t="s">
        <v>41</v>
      </c>
      <c r="B366" t="s">
        <v>2</v>
      </c>
      <c r="C366">
        <v>240</v>
      </c>
    </row>
    <row r="367" spans="1:3" x14ac:dyDescent="0.3">
      <c r="A367" t="s">
        <v>41</v>
      </c>
      <c r="B367" t="s">
        <v>3</v>
      </c>
      <c r="C367">
        <v>268</v>
      </c>
    </row>
    <row r="368" spans="1:3" x14ac:dyDescent="0.3">
      <c r="A368" t="s">
        <v>41</v>
      </c>
      <c r="B368" t="s">
        <v>4</v>
      </c>
      <c r="C368">
        <v>315</v>
      </c>
    </row>
    <row r="369" spans="1:3" x14ac:dyDescent="0.3">
      <c r="A369" t="s">
        <v>41</v>
      </c>
      <c r="B369" t="s">
        <v>5</v>
      </c>
      <c r="C369">
        <v>265</v>
      </c>
    </row>
    <row r="370" spans="1:3" x14ac:dyDescent="0.3">
      <c r="A370" t="s">
        <v>41</v>
      </c>
      <c r="B370" t="s">
        <v>6</v>
      </c>
      <c r="C370">
        <v>301</v>
      </c>
    </row>
    <row r="371" spans="1:3" x14ac:dyDescent="0.3">
      <c r="A371" t="s">
        <v>41</v>
      </c>
      <c r="B371" t="s">
        <v>7</v>
      </c>
      <c r="C371">
        <v>314</v>
      </c>
    </row>
    <row r="372" spans="1:3" x14ac:dyDescent="0.3">
      <c r="A372" t="s">
        <v>41</v>
      </c>
      <c r="B372" t="s">
        <v>8</v>
      </c>
      <c r="C372">
        <v>311</v>
      </c>
    </row>
    <row r="373" spans="1:3" x14ac:dyDescent="0.3">
      <c r="A373" t="s">
        <v>41</v>
      </c>
      <c r="B373" t="s">
        <v>9</v>
      </c>
      <c r="C373">
        <v>239</v>
      </c>
    </row>
    <row r="374" spans="1:3" x14ac:dyDescent="0.3">
      <c r="A374" t="s">
        <v>41</v>
      </c>
      <c r="B374" t="s">
        <v>10</v>
      </c>
      <c r="C374">
        <v>238</v>
      </c>
    </row>
    <row r="375" spans="1:3" x14ac:dyDescent="0.3">
      <c r="A375" t="s">
        <v>41</v>
      </c>
      <c r="B375" t="s">
        <v>11</v>
      </c>
      <c r="C375">
        <v>241</v>
      </c>
    </row>
    <row r="376" spans="1:3" x14ac:dyDescent="0.3">
      <c r="A376" t="s">
        <v>41</v>
      </c>
      <c r="B376" t="s">
        <v>12</v>
      </c>
      <c r="C376">
        <v>191</v>
      </c>
    </row>
    <row r="377" spans="1:3" x14ac:dyDescent="0.3">
      <c r="A377" t="s">
        <v>41</v>
      </c>
      <c r="B377" t="s">
        <v>13</v>
      </c>
      <c r="C377">
        <v>252</v>
      </c>
    </row>
    <row r="378" spans="1:3" x14ac:dyDescent="0.3">
      <c r="A378" t="s">
        <v>41</v>
      </c>
      <c r="B378" t="s">
        <v>14</v>
      </c>
      <c r="C378">
        <v>289</v>
      </c>
    </row>
    <row r="379" spans="1:3" x14ac:dyDescent="0.3">
      <c r="A379" t="s">
        <v>41</v>
      </c>
      <c r="B379" t="s">
        <v>15</v>
      </c>
      <c r="C379">
        <v>316</v>
      </c>
    </row>
    <row r="380" spans="1:3" x14ac:dyDescent="0.3">
      <c r="A380" t="s">
        <v>42</v>
      </c>
      <c r="B380" t="s">
        <v>2</v>
      </c>
      <c r="C380">
        <v>172</v>
      </c>
    </row>
    <row r="381" spans="1:3" x14ac:dyDescent="0.3">
      <c r="A381" t="s">
        <v>42</v>
      </c>
      <c r="B381" t="s">
        <v>3</v>
      </c>
      <c r="C381">
        <v>183</v>
      </c>
    </row>
    <row r="382" spans="1:3" x14ac:dyDescent="0.3">
      <c r="A382" t="s">
        <v>42</v>
      </c>
      <c r="B382" t="s">
        <v>4</v>
      </c>
      <c r="C382">
        <v>169</v>
      </c>
    </row>
    <row r="383" spans="1:3" x14ac:dyDescent="0.3">
      <c r="A383" t="s">
        <v>42</v>
      </c>
      <c r="B383" t="s">
        <v>5</v>
      </c>
      <c r="C383">
        <v>160</v>
      </c>
    </row>
    <row r="384" spans="1:3" x14ac:dyDescent="0.3">
      <c r="A384" t="s">
        <v>42</v>
      </c>
      <c r="B384" t="s">
        <v>6</v>
      </c>
      <c r="C384">
        <v>204</v>
      </c>
    </row>
    <row r="385" spans="1:3" x14ac:dyDescent="0.3">
      <c r="A385" t="s">
        <v>42</v>
      </c>
      <c r="B385" t="s">
        <v>7</v>
      </c>
      <c r="C385">
        <v>189</v>
      </c>
    </row>
    <row r="386" spans="1:3" x14ac:dyDescent="0.3">
      <c r="A386" t="s">
        <v>42</v>
      </c>
      <c r="B386" t="s">
        <v>8</v>
      </c>
      <c r="C386">
        <v>205</v>
      </c>
    </row>
    <row r="387" spans="1:3" x14ac:dyDescent="0.3">
      <c r="A387" t="s">
        <v>42</v>
      </c>
      <c r="B387" t="s">
        <v>9</v>
      </c>
      <c r="C387">
        <v>181</v>
      </c>
    </row>
    <row r="388" spans="1:3" x14ac:dyDescent="0.3">
      <c r="A388" t="s">
        <v>42</v>
      </c>
      <c r="B388" t="s">
        <v>10</v>
      </c>
      <c r="C388">
        <v>216</v>
      </c>
    </row>
    <row r="389" spans="1:3" x14ac:dyDescent="0.3">
      <c r="A389" t="s">
        <v>42</v>
      </c>
      <c r="B389" t="s">
        <v>11</v>
      </c>
      <c r="C389">
        <v>208</v>
      </c>
    </row>
    <row r="390" spans="1:3" x14ac:dyDescent="0.3">
      <c r="A390" t="s">
        <v>42</v>
      </c>
      <c r="B390" t="s">
        <v>12</v>
      </c>
      <c r="C390">
        <v>193</v>
      </c>
    </row>
    <row r="391" spans="1:3" x14ac:dyDescent="0.3">
      <c r="A391" t="s">
        <v>42</v>
      </c>
      <c r="B391" t="s">
        <v>13</v>
      </c>
      <c r="C391">
        <v>179</v>
      </c>
    </row>
    <row r="392" spans="1:3" x14ac:dyDescent="0.3">
      <c r="A392" t="s">
        <v>42</v>
      </c>
      <c r="B392" t="s">
        <v>14</v>
      </c>
      <c r="C392">
        <v>243</v>
      </c>
    </row>
    <row r="393" spans="1:3" x14ac:dyDescent="0.3">
      <c r="A393" t="s">
        <v>42</v>
      </c>
      <c r="B393" t="s">
        <v>15</v>
      </c>
      <c r="C393">
        <v>212</v>
      </c>
    </row>
    <row r="394" spans="1:3" x14ac:dyDescent="0.3">
      <c r="A394" t="s">
        <v>43</v>
      </c>
      <c r="B394" t="s">
        <v>2</v>
      </c>
      <c r="C394">
        <v>198</v>
      </c>
    </row>
    <row r="395" spans="1:3" x14ac:dyDescent="0.3">
      <c r="A395" t="s">
        <v>43</v>
      </c>
      <c r="B395" t="s">
        <v>3</v>
      </c>
      <c r="C395">
        <v>212</v>
      </c>
    </row>
    <row r="396" spans="1:3" x14ac:dyDescent="0.3">
      <c r="A396" t="s">
        <v>43</v>
      </c>
      <c r="B396" t="s">
        <v>4</v>
      </c>
      <c r="C396">
        <v>159</v>
      </c>
    </row>
    <row r="397" spans="1:3" x14ac:dyDescent="0.3">
      <c r="A397" t="s">
        <v>43</v>
      </c>
      <c r="B397" t="s">
        <v>5</v>
      </c>
      <c r="C397">
        <v>216</v>
      </c>
    </row>
    <row r="398" spans="1:3" x14ac:dyDescent="0.3">
      <c r="A398" t="s">
        <v>43</v>
      </c>
      <c r="B398" t="s">
        <v>6</v>
      </c>
      <c r="C398">
        <v>166</v>
      </c>
    </row>
    <row r="399" spans="1:3" x14ac:dyDescent="0.3">
      <c r="A399" t="s">
        <v>43</v>
      </c>
      <c r="B399" t="s">
        <v>7</v>
      </c>
      <c r="C399">
        <v>180</v>
      </c>
    </row>
    <row r="400" spans="1:3" x14ac:dyDescent="0.3">
      <c r="A400" t="s">
        <v>43</v>
      </c>
      <c r="B400" t="s">
        <v>8</v>
      </c>
      <c r="C400">
        <v>165</v>
      </c>
    </row>
    <row r="401" spans="1:3" x14ac:dyDescent="0.3">
      <c r="A401" t="s">
        <v>43</v>
      </c>
      <c r="B401" t="s">
        <v>9</v>
      </c>
      <c r="C401">
        <v>186</v>
      </c>
    </row>
    <row r="402" spans="1:3" x14ac:dyDescent="0.3">
      <c r="A402" t="s">
        <v>43</v>
      </c>
      <c r="B402" t="s">
        <v>10</v>
      </c>
      <c r="C402">
        <v>179</v>
      </c>
    </row>
    <row r="403" spans="1:3" x14ac:dyDescent="0.3">
      <c r="A403" t="s">
        <v>43</v>
      </c>
      <c r="B403" t="s">
        <v>11</v>
      </c>
      <c r="C403">
        <v>171</v>
      </c>
    </row>
    <row r="404" spans="1:3" x14ac:dyDescent="0.3">
      <c r="A404" t="s">
        <v>43</v>
      </c>
      <c r="B404" t="s">
        <v>12</v>
      </c>
      <c r="C404">
        <v>190</v>
      </c>
    </row>
    <row r="405" spans="1:3" x14ac:dyDescent="0.3">
      <c r="A405" t="s">
        <v>43</v>
      </c>
      <c r="B405" t="s">
        <v>13</v>
      </c>
      <c r="C405">
        <v>178</v>
      </c>
    </row>
    <row r="406" spans="1:3" x14ac:dyDescent="0.3">
      <c r="A406" t="s">
        <v>43</v>
      </c>
      <c r="B406" t="s">
        <v>14</v>
      </c>
      <c r="C406">
        <v>171</v>
      </c>
    </row>
    <row r="407" spans="1:3" x14ac:dyDescent="0.3">
      <c r="A407" t="s">
        <v>43</v>
      </c>
      <c r="B407" t="s">
        <v>15</v>
      </c>
      <c r="C407">
        <v>161</v>
      </c>
    </row>
    <row r="408" spans="1:3" x14ac:dyDescent="0.3">
      <c r="A408" t="s">
        <v>44</v>
      </c>
      <c r="B408" t="s">
        <v>2</v>
      </c>
      <c r="C408">
        <v>142</v>
      </c>
    </row>
    <row r="409" spans="1:3" x14ac:dyDescent="0.3">
      <c r="A409" t="s">
        <v>44</v>
      </c>
      <c r="B409" t="s">
        <v>3</v>
      </c>
      <c r="C409">
        <v>179</v>
      </c>
    </row>
    <row r="410" spans="1:3" x14ac:dyDescent="0.3">
      <c r="A410" t="s">
        <v>44</v>
      </c>
      <c r="B410" t="s">
        <v>4</v>
      </c>
      <c r="C410">
        <v>162</v>
      </c>
    </row>
    <row r="411" spans="1:3" x14ac:dyDescent="0.3">
      <c r="A411" t="s">
        <v>44</v>
      </c>
      <c r="B411" t="s">
        <v>5</v>
      </c>
      <c r="C411">
        <v>188</v>
      </c>
    </row>
    <row r="412" spans="1:3" x14ac:dyDescent="0.3">
      <c r="A412" t="s">
        <v>44</v>
      </c>
      <c r="B412" t="s">
        <v>6</v>
      </c>
      <c r="C412">
        <v>164</v>
      </c>
    </row>
    <row r="413" spans="1:3" x14ac:dyDescent="0.3">
      <c r="A413" t="s">
        <v>44</v>
      </c>
      <c r="B413" t="s">
        <v>7</v>
      </c>
      <c r="C413">
        <v>181</v>
      </c>
    </row>
    <row r="414" spans="1:3" x14ac:dyDescent="0.3">
      <c r="A414" t="s">
        <v>44</v>
      </c>
      <c r="B414" t="s">
        <v>8</v>
      </c>
      <c r="C414">
        <v>205</v>
      </c>
    </row>
    <row r="415" spans="1:3" x14ac:dyDescent="0.3">
      <c r="A415" t="s">
        <v>44</v>
      </c>
      <c r="B415" t="s">
        <v>9</v>
      </c>
      <c r="C415">
        <v>172</v>
      </c>
    </row>
    <row r="416" spans="1:3" x14ac:dyDescent="0.3">
      <c r="A416" t="s">
        <v>44</v>
      </c>
      <c r="B416" t="s">
        <v>10</v>
      </c>
      <c r="C416">
        <v>184</v>
      </c>
    </row>
    <row r="417" spans="1:3" x14ac:dyDescent="0.3">
      <c r="A417" t="s">
        <v>44</v>
      </c>
      <c r="B417" t="s">
        <v>11</v>
      </c>
      <c r="C417">
        <v>169</v>
      </c>
    </row>
    <row r="418" spans="1:3" x14ac:dyDescent="0.3">
      <c r="A418" t="s">
        <v>44</v>
      </c>
      <c r="B418" t="s">
        <v>12</v>
      </c>
      <c r="C418">
        <v>158</v>
      </c>
    </row>
    <row r="419" spans="1:3" x14ac:dyDescent="0.3">
      <c r="A419" t="s">
        <v>44</v>
      </c>
      <c r="B419" t="s">
        <v>13</v>
      </c>
      <c r="C419">
        <v>173</v>
      </c>
    </row>
    <row r="420" spans="1:3" x14ac:dyDescent="0.3">
      <c r="A420" t="s">
        <v>44</v>
      </c>
      <c r="B420" t="s">
        <v>14</v>
      </c>
      <c r="C420">
        <v>183</v>
      </c>
    </row>
    <row r="421" spans="1:3" x14ac:dyDescent="0.3">
      <c r="A421" t="s">
        <v>44</v>
      </c>
      <c r="B421" t="s">
        <v>15</v>
      </c>
      <c r="C421">
        <v>187</v>
      </c>
    </row>
    <row r="422" spans="1:3" x14ac:dyDescent="0.3">
      <c r="A422" t="s">
        <v>45</v>
      </c>
      <c r="B422" t="s">
        <v>2</v>
      </c>
      <c r="C422">
        <v>74</v>
      </c>
    </row>
    <row r="423" spans="1:3" x14ac:dyDescent="0.3">
      <c r="A423" t="s">
        <v>45</v>
      </c>
      <c r="B423" t="s">
        <v>3</v>
      </c>
      <c r="C423">
        <v>102</v>
      </c>
    </row>
    <row r="424" spans="1:3" x14ac:dyDescent="0.3">
      <c r="A424" t="s">
        <v>45</v>
      </c>
      <c r="B424" t="s">
        <v>4</v>
      </c>
      <c r="C424">
        <v>92</v>
      </c>
    </row>
    <row r="425" spans="1:3" x14ac:dyDescent="0.3">
      <c r="A425" t="s">
        <v>45</v>
      </c>
      <c r="B425" t="s">
        <v>5</v>
      </c>
      <c r="C425">
        <v>88</v>
      </c>
    </row>
    <row r="426" spans="1:3" x14ac:dyDescent="0.3">
      <c r="A426" t="s">
        <v>45</v>
      </c>
      <c r="B426" t="s">
        <v>6</v>
      </c>
      <c r="C426">
        <v>102</v>
      </c>
    </row>
    <row r="427" spans="1:3" x14ac:dyDescent="0.3">
      <c r="A427" t="s">
        <v>45</v>
      </c>
      <c r="B427" t="s">
        <v>7</v>
      </c>
      <c r="C427">
        <v>140</v>
      </c>
    </row>
    <row r="428" spans="1:3" x14ac:dyDescent="0.3">
      <c r="A428" t="s">
        <v>45</v>
      </c>
      <c r="B428" t="s">
        <v>8</v>
      </c>
      <c r="C428">
        <v>120</v>
      </c>
    </row>
    <row r="429" spans="1:3" x14ac:dyDescent="0.3">
      <c r="A429" t="s">
        <v>45</v>
      </c>
      <c r="B429" t="s">
        <v>9</v>
      </c>
      <c r="C429">
        <v>139</v>
      </c>
    </row>
    <row r="430" spans="1:3" x14ac:dyDescent="0.3">
      <c r="A430" t="s">
        <v>45</v>
      </c>
      <c r="B430" t="s">
        <v>10</v>
      </c>
      <c r="C430">
        <v>162</v>
      </c>
    </row>
    <row r="431" spans="1:3" x14ac:dyDescent="0.3">
      <c r="A431" t="s">
        <v>45</v>
      </c>
      <c r="B431" t="s">
        <v>11</v>
      </c>
      <c r="C431">
        <v>176</v>
      </c>
    </row>
    <row r="432" spans="1:3" x14ac:dyDescent="0.3">
      <c r="A432" t="s">
        <v>45</v>
      </c>
      <c r="B432" t="s">
        <v>12</v>
      </c>
      <c r="C432">
        <v>208</v>
      </c>
    </row>
    <row r="433" spans="1:3" x14ac:dyDescent="0.3">
      <c r="A433" t="s">
        <v>45</v>
      </c>
      <c r="B433" t="s">
        <v>13</v>
      </c>
      <c r="C433">
        <v>262</v>
      </c>
    </row>
    <row r="434" spans="1:3" x14ac:dyDescent="0.3">
      <c r="A434" t="s">
        <v>45</v>
      </c>
      <c r="B434" t="s">
        <v>14</v>
      </c>
      <c r="C434">
        <v>280</v>
      </c>
    </row>
    <row r="435" spans="1:3" x14ac:dyDescent="0.3">
      <c r="A435" t="s">
        <v>45</v>
      </c>
      <c r="B435" t="s">
        <v>15</v>
      </c>
      <c r="C435">
        <v>252</v>
      </c>
    </row>
    <row r="436" spans="1:3" x14ac:dyDescent="0.3">
      <c r="A436" t="s">
        <v>46</v>
      </c>
      <c r="B436" t="s">
        <v>2</v>
      </c>
      <c r="C436">
        <v>162</v>
      </c>
    </row>
    <row r="437" spans="1:3" x14ac:dyDescent="0.3">
      <c r="A437" t="s">
        <v>46</v>
      </c>
      <c r="B437" t="s">
        <v>3</v>
      </c>
      <c r="C437">
        <v>161</v>
      </c>
    </row>
    <row r="438" spans="1:3" x14ac:dyDescent="0.3">
      <c r="A438" t="s">
        <v>46</v>
      </c>
      <c r="B438" t="s">
        <v>4</v>
      </c>
      <c r="C438">
        <v>193</v>
      </c>
    </row>
    <row r="439" spans="1:3" x14ac:dyDescent="0.3">
      <c r="A439" t="s">
        <v>46</v>
      </c>
      <c r="B439" t="s">
        <v>5</v>
      </c>
      <c r="C439">
        <v>170</v>
      </c>
    </row>
    <row r="440" spans="1:3" x14ac:dyDescent="0.3">
      <c r="A440" t="s">
        <v>46</v>
      </c>
      <c r="B440" t="s">
        <v>6</v>
      </c>
      <c r="C440">
        <v>164</v>
      </c>
    </row>
    <row r="441" spans="1:3" x14ac:dyDescent="0.3">
      <c r="A441" t="s">
        <v>46</v>
      </c>
      <c r="B441" t="s">
        <v>7</v>
      </c>
      <c r="C441">
        <v>168</v>
      </c>
    </row>
    <row r="442" spans="1:3" x14ac:dyDescent="0.3">
      <c r="A442" t="s">
        <v>46</v>
      </c>
      <c r="B442" t="s">
        <v>8</v>
      </c>
      <c r="C442">
        <v>176</v>
      </c>
    </row>
    <row r="443" spans="1:3" x14ac:dyDescent="0.3">
      <c r="A443" t="s">
        <v>46</v>
      </c>
      <c r="B443" t="s">
        <v>9</v>
      </c>
      <c r="C443">
        <v>155</v>
      </c>
    </row>
    <row r="444" spans="1:3" x14ac:dyDescent="0.3">
      <c r="A444" t="s">
        <v>46</v>
      </c>
      <c r="B444" t="s">
        <v>10</v>
      </c>
      <c r="C444">
        <v>150</v>
      </c>
    </row>
    <row r="445" spans="1:3" x14ac:dyDescent="0.3">
      <c r="A445" t="s">
        <v>46</v>
      </c>
      <c r="B445" t="s">
        <v>11</v>
      </c>
      <c r="C445">
        <v>143</v>
      </c>
    </row>
    <row r="446" spans="1:3" x14ac:dyDescent="0.3">
      <c r="A446" t="s">
        <v>46</v>
      </c>
      <c r="B446" t="s">
        <v>12</v>
      </c>
      <c r="C446">
        <v>114</v>
      </c>
    </row>
    <row r="447" spans="1:3" x14ac:dyDescent="0.3">
      <c r="A447" t="s">
        <v>46</v>
      </c>
      <c r="B447" t="s">
        <v>13</v>
      </c>
      <c r="C447">
        <v>110</v>
      </c>
    </row>
    <row r="448" spans="1:3" x14ac:dyDescent="0.3">
      <c r="A448" t="s">
        <v>46</v>
      </c>
      <c r="B448" t="s">
        <v>14</v>
      </c>
      <c r="C448">
        <v>119</v>
      </c>
    </row>
    <row r="449" spans="1:3" x14ac:dyDescent="0.3">
      <c r="A449" t="s">
        <v>46</v>
      </c>
      <c r="B449" t="s">
        <v>15</v>
      </c>
      <c r="C449">
        <v>123</v>
      </c>
    </row>
    <row r="450" spans="1:3" x14ac:dyDescent="0.3">
      <c r="A450" t="s">
        <v>47</v>
      </c>
      <c r="B450" t="s">
        <v>2</v>
      </c>
      <c r="C450">
        <v>156</v>
      </c>
    </row>
    <row r="451" spans="1:3" x14ac:dyDescent="0.3">
      <c r="A451" t="s">
        <v>47</v>
      </c>
      <c r="B451" t="s">
        <v>3</v>
      </c>
      <c r="C451">
        <v>147</v>
      </c>
    </row>
    <row r="452" spans="1:3" x14ac:dyDescent="0.3">
      <c r="A452" t="s">
        <v>47</v>
      </c>
      <c r="B452" t="s">
        <v>4</v>
      </c>
      <c r="C452">
        <v>130</v>
      </c>
    </row>
    <row r="453" spans="1:3" x14ac:dyDescent="0.3">
      <c r="A453" t="s">
        <v>47</v>
      </c>
      <c r="B453" t="s">
        <v>5</v>
      </c>
      <c r="C453">
        <v>145</v>
      </c>
    </row>
    <row r="454" spans="1:3" x14ac:dyDescent="0.3">
      <c r="A454" t="s">
        <v>47</v>
      </c>
      <c r="B454" t="s">
        <v>6</v>
      </c>
      <c r="C454">
        <v>154</v>
      </c>
    </row>
    <row r="455" spans="1:3" x14ac:dyDescent="0.3">
      <c r="A455" t="s">
        <v>47</v>
      </c>
      <c r="B455" t="s">
        <v>7</v>
      </c>
      <c r="C455">
        <v>143</v>
      </c>
    </row>
    <row r="456" spans="1:3" x14ac:dyDescent="0.3">
      <c r="A456" t="s">
        <v>47</v>
      </c>
      <c r="B456" t="s">
        <v>8</v>
      </c>
      <c r="C456">
        <v>162</v>
      </c>
    </row>
    <row r="457" spans="1:3" x14ac:dyDescent="0.3">
      <c r="A457" t="s">
        <v>47</v>
      </c>
      <c r="B457" t="s">
        <v>9</v>
      </c>
      <c r="C457">
        <v>176</v>
      </c>
    </row>
    <row r="458" spans="1:3" x14ac:dyDescent="0.3">
      <c r="A458" t="s">
        <v>47</v>
      </c>
      <c r="B458" t="s">
        <v>10</v>
      </c>
      <c r="C458">
        <v>168</v>
      </c>
    </row>
    <row r="459" spans="1:3" x14ac:dyDescent="0.3">
      <c r="A459" t="s">
        <v>47</v>
      </c>
      <c r="B459" t="s">
        <v>11</v>
      </c>
      <c r="C459">
        <v>146</v>
      </c>
    </row>
    <row r="460" spans="1:3" x14ac:dyDescent="0.3">
      <c r="A460" t="s">
        <v>47</v>
      </c>
      <c r="B460" t="s">
        <v>12</v>
      </c>
      <c r="C460">
        <v>112</v>
      </c>
    </row>
    <row r="461" spans="1:3" x14ac:dyDescent="0.3">
      <c r="A461" t="s">
        <v>47</v>
      </c>
      <c r="B461" t="s">
        <v>13</v>
      </c>
      <c r="C461">
        <v>116</v>
      </c>
    </row>
    <row r="462" spans="1:3" x14ac:dyDescent="0.3">
      <c r="A462" t="s">
        <v>47</v>
      </c>
      <c r="B462" t="s">
        <v>14</v>
      </c>
      <c r="C462">
        <v>110</v>
      </c>
    </row>
    <row r="463" spans="1:3" x14ac:dyDescent="0.3">
      <c r="A463" t="s">
        <v>47</v>
      </c>
      <c r="B463" t="s">
        <v>15</v>
      </c>
      <c r="C463">
        <v>159</v>
      </c>
    </row>
    <row r="464" spans="1:3" x14ac:dyDescent="0.3">
      <c r="A464" t="s">
        <v>48</v>
      </c>
      <c r="B464" t="s">
        <v>2</v>
      </c>
      <c r="C464">
        <v>111</v>
      </c>
    </row>
    <row r="465" spans="1:3" x14ac:dyDescent="0.3">
      <c r="A465" t="s">
        <v>48</v>
      </c>
      <c r="B465" t="s">
        <v>3</v>
      </c>
      <c r="C465">
        <v>112</v>
      </c>
    </row>
    <row r="466" spans="1:3" x14ac:dyDescent="0.3">
      <c r="A466" t="s">
        <v>48</v>
      </c>
      <c r="B466" t="s">
        <v>4</v>
      </c>
      <c r="C466">
        <v>120</v>
      </c>
    </row>
    <row r="467" spans="1:3" x14ac:dyDescent="0.3">
      <c r="A467" t="s">
        <v>48</v>
      </c>
      <c r="B467" t="s">
        <v>5</v>
      </c>
      <c r="C467">
        <v>124</v>
      </c>
    </row>
    <row r="468" spans="1:3" x14ac:dyDescent="0.3">
      <c r="A468" t="s">
        <v>48</v>
      </c>
      <c r="B468" t="s">
        <v>6</v>
      </c>
      <c r="C468">
        <v>110</v>
      </c>
    </row>
    <row r="469" spans="1:3" x14ac:dyDescent="0.3">
      <c r="A469" t="s">
        <v>48</v>
      </c>
      <c r="B469" t="s">
        <v>7</v>
      </c>
      <c r="C469">
        <v>102</v>
      </c>
    </row>
    <row r="470" spans="1:3" x14ac:dyDescent="0.3">
      <c r="A470" t="s">
        <v>48</v>
      </c>
      <c r="B470" t="s">
        <v>8</v>
      </c>
      <c r="C470">
        <v>120</v>
      </c>
    </row>
    <row r="471" spans="1:3" x14ac:dyDescent="0.3">
      <c r="A471" t="s">
        <v>48</v>
      </c>
      <c r="B471" t="s">
        <v>9</v>
      </c>
      <c r="C471">
        <v>126</v>
      </c>
    </row>
    <row r="472" spans="1:3" x14ac:dyDescent="0.3">
      <c r="A472" t="s">
        <v>48</v>
      </c>
      <c r="B472" t="s">
        <v>10</v>
      </c>
      <c r="C472">
        <v>132</v>
      </c>
    </row>
    <row r="473" spans="1:3" x14ac:dyDescent="0.3">
      <c r="A473" t="s">
        <v>48</v>
      </c>
      <c r="B473" t="s">
        <v>11</v>
      </c>
      <c r="C473">
        <v>161</v>
      </c>
    </row>
    <row r="474" spans="1:3" x14ac:dyDescent="0.3">
      <c r="A474" t="s">
        <v>48</v>
      </c>
      <c r="B474" t="s">
        <v>12</v>
      </c>
      <c r="C474">
        <v>154</v>
      </c>
    </row>
    <row r="475" spans="1:3" x14ac:dyDescent="0.3">
      <c r="A475" t="s">
        <v>48</v>
      </c>
      <c r="B475" t="s">
        <v>13</v>
      </c>
      <c r="C475">
        <v>155</v>
      </c>
    </row>
    <row r="476" spans="1:3" x14ac:dyDescent="0.3">
      <c r="A476" t="s">
        <v>48</v>
      </c>
      <c r="B476" t="s">
        <v>14</v>
      </c>
      <c r="C476">
        <v>174</v>
      </c>
    </row>
    <row r="477" spans="1:3" x14ac:dyDescent="0.3">
      <c r="A477" t="s">
        <v>48</v>
      </c>
      <c r="B477" t="s">
        <v>15</v>
      </c>
      <c r="C477">
        <v>174</v>
      </c>
    </row>
    <row r="478" spans="1:3" x14ac:dyDescent="0.3">
      <c r="A478" t="s">
        <v>49</v>
      </c>
      <c r="B478" t="s">
        <v>2</v>
      </c>
      <c r="C478">
        <v>91</v>
      </c>
    </row>
    <row r="479" spans="1:3" x14ac:dyDescent="0.3">
      <c r="A479" t="s">
        <v>49</v>
      </c>
      <c r="B479" t="s">
        <v>3</v>
      </c>
      <c r="C479">
        <v>96</v>
      </c>
    </row>
    <row r="480" spans="1:3" x14ac:dyDescent="0.3">
      <c r="A480" t="s">
        <v>49</v>
      </c>
      <c r="B480" t="s">
        <v>4</v>
      </c>
      <c r="C480">
        <v>103</v>
      </c>
    </row>
    <row r="481" spans="1:3" x14ac:dyDescent="0.3">
      <c r="A481" t="s">
        <v>49</v>
      </c>
      <c r="B481" t="s">
        <v>5</v>
      </c>
      <c r="C481">
        <v>88</v>
      </c>
    </row>
    <row r="482" spans="1:3" x14ac:dyDescent="0.3">
      <c r="A482" t="s">
        <v>49</v>
      </c>
      <c r="B482" t="s">
        <v>6</v>
      </c>
      <c r="C482">
        <v>106</v>
      </c>
    </row>
    <row r="483" spans="1:3" x14ac:dyDescent="0.3">
      <c r="A483" t="s">
        <v>49</v>
      </c>
      <c r="B483" t="s">
        <v>7</v>
      </c>
      <c r="C483">
        <v>105</v>
      </c>
    </row>
    <row r="484" spans="1:3" x14ac:dyDescent="0.3">
      <c r="A484" t="s">
        <v>49</v>
      </c>
      <c r="B484" t="s">
        <v>8</v>
      </c>
      <c r="C484">
        <v>121</v>
      </c>
    </row>
    <row r="485" spans="1:3" x14ac:dyDescent="0.3">
      <c r="A485" t="s">
        <v>49</v>
      </c>
      <c r="B485" t="s">
        <v>9</v>
      </c>
      <c r="C485">
        <v>111</v>
      </c>
    </row>
    <row r="486" spans="1:3" x14ac:dyDescent="0.3">
      <c r="A486" t="s">
        <v>49</v>
      </c>
      <c r="B486" t="s">
        <v>10</v>
      </c>
      <c r="C486">
        <v>100</v>
      </c>
    </row>
    <row r="487" spans="1:3" x14ac:dyDescent="0.3">
      <c r="A487" t="s">
        <v>49</v>
      </c>
      <c r="B487" t="s">
        <v>11</v>
      </c>
      <c r="C487">
        <v>119</v>
      </c>
    </row>
    <row r="488" spans="1:3" x14ac:dyDescent="0.3">
      <c r="A488" t="s">
        <v>49</v>
      </c>
      <c r="B488" t="s">
        <v>12</v>
      </c>
      <c r="C488">
        <v>123</v>
      </c>
    </row>
    <row r="489" spans="1:3" x14ac:dyDescent="0.3">
      <c r="A489" t="s">
        <v>49</v>
      </c>
      <c r="B489" t="s">
        <v>13</v>
      </c>
      <c r="C489">
        <v>153</v>
      </c>
    </row>
    <row r="490" spans="1:3" x14ac:dyDescent="0.3">
      <c r="A490" t="s">
        <v>49</v>
      </c>
      <c r="B490" t="s">
        <v>14</v>
      </c>
      <c r="C490">
        <v>146</v>
      </c>
    </row>
    <row r="491" spans="1:3" x14ac:dyDescent="0.3">
      <c r="A491" t="s">
        <v>49</v>
      </c>
      <c r="B491" t="s">
        <v>15</v>
      </c>
      <c r="C491">
        <v>137</v>
      </c>
    </row>
    <row r="492" spans="1:3" x14ac:dyDescent="0.3">
      <c r="A492" t="s">
        <v>50</v>
      </c>
      <c r="B492" t="s">
        <v>2</v>
      </c>
      <c r="C492">
        <v>70</v>
      </c>
    </row>
    <row r="493" spans="1:3" x14ac:dyDescent="0.3">
      <c r="A493" t="s">
        <v>50</v>
      </c>
      <c r="B493" t="s">
        <v>3</v>
      </c>
      <c r="C493">
        <v>104</v>
      </c>
    </row>
    <row r="494" spans="1:3" x14ac:dyDescent="0.3">
      <c r="A494" t="s">
        <v>50</v>
      </c>
      <c r="B494" t="s">
        <v>4</v>
      </c>
      <c r="C494">
        <v>101</v>
      </c>
    </row>
    <row r="495" spans="1:3" x14ac:dyDescent="0.3">
      <c r="A495" t="s">
        <v>50</v>
      </c>
      <c r="B495" t="s">
        <v>5</v>
      </c>
      <c r="C495">
        <v>104</v>
      </c>
    </row>
    <row r="496" spans="1:3" x14ac:dyDescent="0.3">
      <c r="A496" t="s">
        <v>50</v>
      </c>
      <c r="B496" t="s">
        <v>6</v>
      </c>
      <c r="C496">
        <v>106</v>
      </c>
    </row>
    <row r="497" spans="1:3" x14ac:dyDescent="0.3">
      <c r="A497" t="s">
        <v>50</v>
      </c>
      <c r="B497" t="s">
        <v>7</v>
      </c>
      <c r="C497">
        <v>97</v>
      </c>
    </row>
    <row r="498" spans="1:3" x14ac:dyDescent="0.3">
      <c r="A498" t="s">
        <v>50</v>
      </c>
      <c r="B498" t="s">
        <v>8</v>
      </c>
      <c r="C498">
        <v>120</v>
      </c>
    </row>
    <row r="499" spans="1:3" x14ac:dyDescent="0.3">
      <c r="A499" t="s">
        <v>50</v>
      </c>
      <c r="B499" t="s">
        <v>9</v>
      </c>
      <c r="C499">
        <v>108</v>
      </c>
    </row>
    <row r="500" spans="1:3" x14ac:dyDescent="0.3">
      <c r="A500" t="s">
        <v>50</v>
      </c>
      <c r="B500" t="s">
        <v>10</v>
      </c>
      <c r="C500">
        <v>115</v>
      </c>
    </row>
    <row r="501" spans="1:3" x14ac:dyDescent="0.3">
      <c r="A501" t="s">
        <v>50</v>
      </c>
      <c r="B501" t="s">
        <v>11</v>
      </c>
      <c r="C501">
        <v>93</v>
      </c>
    </row>
    <row r="502" spans="1:3" x14ac:dyDescent="0.3">
      <c r="A502" t="s">
        <v>50</v>
      </c>
      <c r="B502" t="s">
        <v>12</v>
      </c>
      <c r="C502">
        <v>109</v>
      </c>
    </row>
    <row r="503" spans="1:3" x14ac:dyDescent="0.3">
      <c r="A503" t="s">
        <v>50</v>
      </c>
      <c r="B503" t="s">
        <v>13</v>
      </c>
      <c r="C503">
        <v>97</v>
      </c>
    </row>
    <row r="504" spans="1:3" x14ac:dyDescent="0.3">
      <c r="A504" t="s">
        <v>50</v>
      </c>
      <c r="B504" t="s">
        <v>14</v>
      </c>
      <c r="C504">
        <v>104</v>
      </c>
    </row>
    <row r="505" spans="1:3" x14ac:dyDescent="0.3">
      <c r="A505" t="s">
        <v>50</v>
      </c>
      <c r="B505" t="s">
        <v>15</v>
      </c>
      <c r="C505">
        <v>111</v>
      </c>
    </row>
    <row r="506" spans="1:3" x14ac:dyDescent="0.3">
      <c r="A506" t="s">
        <v>51</v>
      </c>
      <c r="B506" t="s">
        <v>2</v>
      </c>
      <c r="C506">
        <v>37</v>
      </c>
    </row>
    <row r="507" spans="1:3" x14ac:dyDescent="0.3">
      <c r="A507" t="s">
        <v>51</v>
      </c>
      <c r="B507" t="s">
        <v>3</v>
      </c>
      <c r="C507">
        <v>42</v>
      </c>
    </row>
    <row r="508" spans="1:3" x14ac:dyDescent="0.3">
      <c r="A508" t="s">
        <v>51</v>
      </c>
      <c r="B508" t="s">
        <v>4</v>
      </c>
      <c r="C508">
        <v>46</v>
      </c>
    </row>
    <row r="509" spans="1:3" x14ac:dyDescent="0.3">
      <c r="A509" t="s">
        <v>51</v>
      </c>
      <c r="B509" t="s">
        <v>5</v>
      </c>
      <c r="C509">
        <v>45</v>
      </c>
    </row>
    <row r="510" spans="1:3" x14ac:dyDescent="0.3">
      <c r="A510" t="s">
        <v>51</v>
      </c>
      <c r="B510" t="s">
        <v>6</v>
      </c>
      <c r="C510">
        <v>49</v>
      </c>
    </row>
    <row r="511" spans="1:3" x14ac:dyDescent="0.3">
      <c r="A511" t="s">
        <v>51</v>
      </c>
      <c r="B511" t="s">
        <v>7</v>
      </c>
      <c r="C511">
        <v>59</v>
      </c>
    </row>
    <row r="512" spans="1:3" x14ac:dyDescent="0.3">
      <c r="A512" t="s">
        <v>51</v>
      </c>
      <c r="B512" t="s">
        <v>8</v>
      </c>
      <c r="C512">
        <v>55</v>
      </c>
    </row>
    <row r="513" spans="1:3" x14ac:dyDescent="0.3">
      <c r="A513" t="s">
        <v>51</v>
      </c>
      <c r="B513" t="s">
        <v>9</v>
      </c>
      <c r="C513">
        <v>80</v>
      </c>
    </row>
    <row r="514" spans="1:3" x14ac:dyDescent="0.3">
      <c r="A514" t="s">
        <v>51</v>
      </c>
      <c r="B514" t="s">
        <v>10</v>
      </c>
      <c r="C514">
        <v>74</v>
      </c>
    </row>
    <row r="515" spans="1:3" x14ac:dyDescent="0.3">
      <c r="A515" t="s">
        <v>51</v>
      </c>
      <c r="B515" t="s">
        <v>11</v>
      </c>
      <c r="C515">
        <v>59</v>
      </c>
    </row>
    <row r="516" spans="1:3" x14ac:dyDescent="0.3">
      <c r="A516" t="s">
        <v>51</v>
      </c>
      <c r="B516" t="s">
        <v>12</v>
      </c>
      <c r="C516">
        <v>83</v>
      </c>
    </row>
    <row r="517" spans="1:3" x14ac:dyDescent="0.3">
      <c r="A517" t="s">
        <v>51</v>
      </c>
      <c r="B517" t="s">
        <v>13</v>
      </c>
      <c r="C517">
        <v>107</v>
      </c>
    </row>
    <row r="518" spans="1:3" x14ac:dyDescent="0.3">
      <c r="A518" t="s">
        <v>51</v>
      </c>
      <c r="B518" t="s">
        <v>14</v>
      </c>
      <c r="C518">
        <v>100</v>
      </c>
    </row>
    <row r="519" spans="1:3" x14ac:dyDescent="0.3">
      <c r="A519" t="s">
        <v>51</v>
      </c>
      <c r="B519" t="s">
        <v>15</v>
      </c>
      <c r="C519">
        <v>99</v>
      </c>
    </row>
    <row r="520" spans="1:3" x14ac:dyDescent="0.3">
      <c r="A520" t="s">
        <v>52</v>
      </c>
      <c r="B520" t="s">
        <v>2</v>
      </c>
      <c r="C520">
        <v>60</v>
      </c>
    </row>
    <row r="521" spans="1:3" x14ac:dyDescent="0.3">
      <c r="A521" t="s">
        <v>52</v>
      </c>
      <c r="B521" t="s">
        <v>3</v>
      </c>
      <c r="C521">
        <v>67</v>
      </c>
    </row>
    <row r="522" spans="1:3" x14ac:dyDescent="0.3">
      <c r="A522" t="s">
        <v>52</v>
      </c>
      <c r="B522" t="s">
        <v>4</v>
      </c>
      <c r="C522">
        <v>52</v>
      </c>
    </row>
    <row r="523" spans="1:3" x14ac:dyDescent="0.3">
      <c r="A523" t="s">
        <v>52</v>
      </c>
      <c r="B523" t="s">
        <v>5</v>
      </c>
      <c r="C523">
        <v>55</v>
      </c>
    </row>
    <row r="524" spans="1:3" x14ac:dyDescent="0.3">
      <c r="A524" t="s">
        <v>52</v>
      </c>
      <c r="B524" t="s">
        <v>6</v>
      </c>
      <c r="C524">
        <v>69</v>
      </c>
    </row>
    <row r="525" spans="1:3" x14ac:dyDescent="0.3">
      <c r="A525" t="s">
        <v>52</v>
      </c>
      <c r="B525" t="s">
        <v>7</v>
      </c>
      <c r="C525">
        <v>84</v>
      </c>
    </row>
    <row r="526" spans="1:3" x14ac:dyDescent="0.3">
      <c r="A526" t="s">
        <v>52</v>
      </c>
      <c r="B526" t="s">
        <v>8</v>
      </c>
      <c r="C526">
        <v>82</v>
      </c>
    </row>
    <row r="527" spans="1:3" x14ac:dyDescent="0.3">
      <c r="A527" t="s">
        <v>52</v>
      </c>
      <c r="B527" t="s">
        <v>9</v>
      </c>
      <c r="C527">
        <v>79</v>
      </c>
    </row>
    <row r="528" spans="1:3" x14ac:dyDescent="0.3">
      <c r="A528" t="s">
        <v>52</v>
      </c>
      <c r="B528" t="s">
        <v>10</v>
      </c>
      <c r="C528">
        <v>89</v>
      </c>
    </row>
    <row r="529" spans="1:3" x14ac:dyDescent="0.3">
      <c r="A529" t="s">
        <v>52</v>
      </c>
      <c r="B529" t="s">
        <v>11</v>
      </c>
      <c r="C529">
        <v>70</v>
      </c>
    </row>
    <row r="530" spans="1:3" x14ac:dyDescent="0.3">
      <c r="A530" t="s">
        <v>52</v>
      </c>
      <c r="B530" t="s">
        <v>12</v>
      </c>
      <c r="C530">
        <v>57</v>
      </c>
    </row>
    <row r="531" spans="1:3" x14ac:dyDescent="0.3">
      <c r="A531" t="s">
        <v>52</v>
      </c>
      <c r="B531" t="s">
        <v>13</v>
      </c>
      <c r="C531">
        <v>34</v>
      </c>
    </row>
    <row r="532" spans="1:3" x14ac:dyDescent="0.3">
      <c r="A532" t="s">
        <v>52</v>
      </c>
      <c r="B532" t="s">
        <v>14</v>
      </c>
      <c r="C532">
        <v>50</v>
      </c>
    </row>
    <row r="533" spans="1:3" x14ac:dyDescent="0.3">
      <c r="A533" t="s">
        <v>52</v>
      </c>
      <c r="B533" t="s">
        <v>15</v>
      </c>
      <c r="C533">
        <v>53</v>
      </c>
    </row>
    <row r="534" spans="1:3" x14ac:dyDescent="0.3">
      <c r="A534" t="s">
        <v>53</v>
      </c>
      <c r="B534" t="s">
        <v>2</v>
      </c>
      <c r="C534">
        <v>39</v>
      </c>
    </row>
    <row r="535" spans="1:3" x14ac:dyDescent="0.3">
      <c r="A535" t="s">
        <v>53</v>
      </c>
      <c r="B535" t="s">
        <v>3</v>
      </c>
      <c r="C535">
        <v>32</v>
      </c>
    </row>
    <row r="536" spans="1:3" x14ac:dyDescent="0.3">
      <c r="A536" t="s">
        <v>53</v>
      </c>
      <c r="B536" t="s">
        <v>4</v>
      </c>
      <c r="C536">
        <v>60</v>
      </c>
    </row>
    <row r="537" spans="1:3" x14ac:dyDescent="0.3">
      <c r="A537" t="s">
        <v>53</v>
      </c>
      <c r="B537" t="s">
        <v>5</v>
      </c>
      <c r="C537">
        <v>58</v>
      </c>
    </row>
    <row r="538" spans="1:3" x14ac:dyDescent="0.3">
      <c r="A538" t="s">
        <v>53</v>
      </c>
      <c r="B538" t="s">
        <v>6</v>
      </c>
      <c r="C538">
        <v>51</v>
      </c>
    </row>
    <row r="539" spans="1:3" x14ac:dyDescent="0.3">
      <c r="A539" t="s">
        <v>53</v>
      </c>
      <c r="B539" t="s">
        <v>7</v>
      </c>
      <c r="C539">
        <v>72</v>
      </c>
    </row>
    <row r="540" spans="1:3" x14ac:dyDescent="0.3">
      <c r="A540" t="s">
        <v>53</v>
      </c>
      <c r="B540" t="s">
        <v>8</v>
      </c>
      <c r="C540">
        <v>65</v>
      </c>
    </row>
    <row r="541" spans="1:3" x14ac:dyDescent="0.3">
      <c r="A541" t="s">
        <v>53</v>
      </c>
      <c r="B541" t="s">
        <v>9</v>
      </c>
      <c r="C541">
        <v>57</v>
      </c>
    </row>
    <row r="542" spans="1:3" x14ac:dyDescent="0.3">
      <c r="A542" t="s">
        <v>53</v>
      </c>
      <c r="B542" t="s">
        <v>10</v>
      </c>
      <c r="C542">
        <v>51</v>
      </c>
    </row>
    <row r="543" spans="1:3" x14ac:dyDescent="0.3">
      <c r="A543" t="s">
        <v>53</v>
      </c>
      <c r="B543" t="s">
        <v>11</v>
      </c>
      <c r="C543">
        <v>51</v>
      </c>
    </row>
    <row r="544" spans="1:3" x14ac:dyDescent="0.3">
      <c r="A544" t="s">
        <v>53</v>
      </c>
      <c r="B544" t="s">
        <v>12</v>
      </c>
      <c r="C544">
        <v>59</v>
      </c>
    </row>
    <row r="545" spans="1:3" x14ac:dyDescent="0.3">
      <c r="A545" t="s">
        <v>53</v>
      </c>
      <c r="B545" t="s">
        <v>13</v>
      </c>
      <c r="C545">
        <v>82</v>
      </c>
    </row>
    <row r="546" spans="1:3" x14ac:dyDescent="0.3">
      <c r="A546" t="s">
        <v>53</v>
      </c>
      <c r="B546" t="s">
        <v>14</v>
      </c>
      <c r="C546">
        <v>81</v>
      </c>
    </row>
    <row r="547" spans="1:3" x14ac:dyDescent="0.3">
      <c r="A547" t="s">
        <v>53</v>
      </c>
      <c r="B547" t="s">
        <v>15</v>
      </c>
      <c r="C547">
        <v>85</v>
      </c>
    </row>
    <row r="548" spans="1:3" x14ac:dyDescent="0.3">
      <c r="A548" t="s">
        <v>54</v>
      </c>
      <c r="B548" t="s">
        <v>2</v>
      </c>
      <c r="C548">
        <v>47</v>
      </c>
    </row>
    <row r="549" spans="1:3" x14ac:dyDescent="0.3">
      <c r="A549" t="s">
        <v>54</v>
      </c>
      <c r="B549" t="s">
        <v>3</v>
      </c>
      <c r="C549">
        <v>45</v>
      </c>
    </row>
    <row r="550" spans="1:3" x14ac:dyDescent="0.3">
      <c r="A550" t="s">
        <v>54</v>
      </c>
      <c r="B550" t="s">
        <v>4</v>
      </c>
      <c r="C550">
        <v>44</v>
      </c>
    </row>
    <row r="551" spans="1:3" x14ac:dyDescent="0.3">
      <c r="A551" t="s">
        <v>54</v>
      </c>
      <c r="B551" t="s">
        <v>5</v>
      </c>
      <c r="C551">
        <v>56</v>
      </c>
    </row>
    <row r="552" spans="1:3" x14ac:dyDescent="0.3">
      <c r="A552" t="s">
        <v>54</v>
      </c>
      <c r="B552" t="s">
        <v>6</v>
      </c>
      <c r="C552">
        <v>36</v>
      </c>
    </row>
    <row r="553" spans="1:3" x14ac:dyDescent="0.3">
      <c r="A553" t="s">
        <v>54</v>
      </c>
      <c r="B553" t="s">
        <v>7</v>
      </c>
      <c r="C553">
        <v>57</v>
      </c>
    </row>
    <row r="554" spans="1:3" x14ac:dyDescent="0.3">
      <c r="A554" t="s">
        <v>54</v>
      </c>
      <c r="B554" t="s">
        <v>8</v>
      </c>
      <c r="C554">
        <v>46</v>
      </c>
    </row>
    <row r="555" spans="1:3" x14ac:dyDescent="0.3">
      <c r="A555" t="s">
        <v>54</v>
      </c>
      <c r="B555" t="s">
        <v>9</v>
      </c>
      <c r="C555">
        <v>49</v>
      </c>
    </row>
    <row r="556" spans="1:3" x14ac:dyDescent="0.3">
      <c r="A556" t="s">
        <v>54</v>
      </c>
      <c r="B556" t="s">
        <v>10</v>
      </c>
      <c r="C556">
        <v>58</v>
      </c>
    </row>
    <row r="557" spans="1:3" x14ac:dyDescent="0.3">
      <c r="A557" t="s">
        <v>54</v>
      </c>
      <c r="B557" t="s">
        <v>11</v>
      </c>
      <c r="C557">
        <v>66</v>
      </c>
    </row>
    <row r="558" spans="1:3" x14ac:dyDescent="0.3">
      <c r="A558" t="s">
        <v>54</v>
      </c>
      <c r="B558" t="s">
        <v>12</v>
      </c>
      <c r="C558">
        <v>75</v>
      </c>
    </row>
    <row r="559" spans="1:3" x14ac:dyDescent="0.3">
      <c r="A559" t="s">
        <v>54</v>
      </c>
      <c r="B559" t="s">
        <v>13</v>
      </c>
      <c r="C559">
        <v>98</v>
      </c>
    </row>
    <row r="560" spans="1:3" x14ac:dyDescent="0.3">
      <c r="A560" t="s">
        <v>54</v>
      </c>
      <c r="B560" t="s">
        <v>14</v>
      </c>
      <c r="C560">
        <v>84</v>
      </c>
    </row>
    <row r="561" spans="1:3" x14ac:dyDescent="0.3">
      <c r="A561" t="s">
        <v>54</v>
      </c>
      <c r="B561" t="s">
        <v>15</v>
      </c>
      <c r="C561">
        <v>71</v>
      </c>
    </row>
    <row r="562" spans="1:3" x14ac:dyDescent="0.3">
      <c r="A562" t="s">
        <v>55</v>
      </c>
      <c r="B562" t="s">
        <v>2</v>
      </c>
      <c r="C562">
        <v>44</v>
      </c>
    </row>
    <row r="563" spans="1:3" x14ac:dyDescent="0.3">
      <c r="A563" t="s">
        <v>55</v>
      </c>
      <c r="B563" t="s">
        <v>3</v>
      </c>
      <c r="C563">
        <v>33</v>
      </c>
    </row>
    <row r="564" spans="1:3" x14ac:dyDescent="0.3">
      <c r="A564" t="s">
        <v>55</v>
      </c>
      <c r="B564" t="s">
        <v>4</v>
      </c>
      <c r="C564">
        <v>46</v>
      </c>
    </row>
    <row r="565" spans="1:3" x14ac:dyDescent="0.3">
      <c r="A565" t="s">
        <v>55</v>
      </c>
      <c r="B565" t="s">
        <v>5</v>
      </c>
      <c r="C565">
        <v>38</v>
      </c>
    </row>
    <row r="566" spans="1:3" x14ac:dyDescent="0.3">
      <c r="A566" t="s">
        <v>55</v>
      </c>
      <c r="B566" t="s">
        <v>6</v>
      </c>
      <c r="C566">
        <v>41</v>
      </c>
    </row>
    <row r="567" spans="1:3" x14ac:dyDescent="0.3">
      <c r="A567" t="s">
        <v>55</v>
      </c>
      <c r="B567" t="s">
        <v>7</v>
      </c>
      <c r="C567">
        <v>54</v>
      </c>
    </row>
    <row r="568" spans="1:3" x14ac:dyDescent="0.3">
      <c r="A568" t="s">
        <v>55</v>
      </c>
      <c r="B568" t="s">
        <v>8</v>
      </c>
      <c r="C568">
        <v>51</v>
      </c>
    </row>
    <row r="569" spans="1:3" x14ac:dyDescent="0.3">
      <c r="A569" t="s">
        <v>55</v>
      </c>
      <c r="B569" t="s">
        <v>9</v>
      </c>
      <c r="C569">
        <v>74</v>
      </c>
    </row>
    <row r="570" spans="1:3" x14ac:dyDescent="0.3">
      <c r="A570" t="s">
        <v>55</v>
      </c>
      <c r="B570" t="s">
        <v>10</v>
      </c>
      <c r="C570">
        <v>46</v>
      </c>
    </row>
    <row r="571" spans="1:3" x14ac:dyDescent="0.3">
      <c r="A571" t="s">
        <v>55</v>
      </c>
      <c r="B571" t="s">
        <v>11</v>
      </c>
      <c r="C571">
        <v>65</v>
      </c>
    </row>
    <row r="572" spans="1:3" x14ac:dyDescent="0.3">
      <c r="A572" t="s">
        <v>55</v>
      </c>
      <c r="B572" t="s">
        <v>12</v>
      </c>
      <c r="C572">
        <v>58</v>
      </c>
    </row>
    <row r="573" spans="1:3" x14ac:dyDescent="0.3">
      <c r="A573" t="s">
        <v>55</v>
      </c>
      <c r="B573" t="s">
        <v>13</v>
      </c>
      <c r="C573">
        <v>73</v>
      </c>
    </row>
    <row r="574" spans="1:3" x14ac:dyDescent="0.3">
      <c r="A574" t="s">
        <v>55</v>
      </c>
      <c r="B574" t="s">
        <v>14</v>
      </c>
      <c r="C574">
        <v>64</v>
      </c>
    </row>
    <row r="575" spans="1:3" x14ac:dyDescent="0.3">
      <c r="A575" t="s">
        <v>55</v>
      </c>
      <c r="B575" t="s">
        <v>15</v>
      </c>
      <c r="C575">
        <v>67</v>
      </c>
    </row>
    <row r="576" spans="1:3" x14ac:dyDescent="0.3">
      <c r="A576" t="s">
        <v>56</v>
      </c>
      <c r="B576" t="s">
        <v>2</v>
      </c>
      <c r="C576">
        <v>40</v>
      </c>
    </row>
    <row r="577" spans="1:3" x14ac:dyDescent="0.3">
      <c r="A577" t="s">
        <v>56</v>
      </c>
      <c r="B577" t="s">
        <v>3</v>
      </c>
      <c r="C577">
        <v>55</v>
      </c>
    </row>
    <row r="578" spans="1:3" x14ac:dyDescent="0.3">
      <c r="A578" t="s">
        <v>56</v>
      </c>
      <c r="B578" t="s">
        <v>4</v>
      </c>
      <c r="C578">
        <v>49</v>
      </c>
    </row>
    <row r="579" spans="1:3" x14ac:dyDescent="0.3">
      <c r="A579" t="s">
        <v>56</v>
      </c>
      <c r="B579" t="s">
        <v>5</v>
      </c>
      <c r="C579">
        <v>53</v>
      </c>
    </row>
    <row r="580" spans="1:3" x14ac:dyDescent="0.3">
      <c r="A580" t="s">
        <v>56</v>
      </c>
      <c r="B580" t="s">
        <v>6</v>
      </c>
      <c r="C580">
        <v>44</v>
      </c>
    </row>
    <row r="581" spans="1:3" x14ac:dyDescent="0.3">
      <c r="A581" t="s">
        <v>56</v>
      </c>
      <c r="B581" t="s">
        <v>7</v>
      </c>
      <c r="C581">
        <v>62</v>
      </c>
    </row>
    <row r="582" spans="1:3" x14ac:dyDescent="0.3">
      <c r="A582" t="s">
        <v>56</v>
      </c>
      <c r="B582" t="s">
        <v>8</v>
      </c>
      <c r="C582">
        <v>64</v>
      </c>
    </row>
    <row r="583" spans="1:3" x14ac:dyDescent="0.3">
      <c r="A583" t="s">
        <v>56</v>
      </c>
      <c r="B583" t="s">
        <v>9</v>
      </c>
      <c r="C583">
        <v>59</v>
      </c>
    </row>
    <row r="584" spans="1:3" x14ac:dyDescent="0.3">
      <c r="A584" t="s">
        <v>56</v>
      </c>
      <c r="B584" t="s">
        <v>10</v>
      </c>
      <c r="C584">
        <v>53</v>
      </c>
    </row>
    <row r="585" spans="1:3" x14ac:dyDescent="0.3">
      <c r="A585" t="s">
        <v>56</v>
      </c>
      <c r="B585" t="s">
        <v>11</v>
      </c>
      <c r="C585">
        <v>46</v>
      </c>
    </row>
    <row r="586" spans="1:3" x14ac:dyDescent="0.3">
      <c r="A586" t="s">
        <v>56</v>
      </c>
      <c r="B586" t="s">
        <v>12</v>
      </c>
      <c r="C586">
        <v>56</v>
      </c>
    </row>
    <row r="587" spans="1:3" x14ac:dyDescent="0.3">
      <c r="A587" t="s">
        <v>56</v>
      </c>
      <c r="B587" t="s">
        <v>13</v>
      </c>
      <c r="C587">
        <v>44</v>
      </c>
    </row>
    <row r="588" spans="1:3" x14ac:dyDescent="0.3">
      <c r="A588" t="s">
        <v>56</v>
      </c>
      <c r="B588" t="s">
        <v>14</v>
      </c>
      <c r="C588">
        <v>43</v>
      </c>
    </row>
    <row r="589" spans="1:3" x14ac:dyDescent="0.3">
      <c r="A589" t="s">
        <v>56</v>
      </c>
      <c r="B589" t="s">
        <v>15</v>
      </c>
      <c r="C589">
        <v>52</v>
      </c>
    </row>
    <row r="590" spans="1:3" x14ac:dyDescent="0.3">
      <c r="A590" t="s">
        <v>57</v>
      </c>
      <c r="B590" t="s">
        <v>2</v>
      </c>
      <c r="C590">
        <v>56</v>
      </c>
    </row>
    <row r="591" spans="1:3" x14ac:dyDescent="0.3">
      <c r="A591" t="s">
        <v>57</v>
      </c>
      <c r="B591" t="s">
        <v>3</v>
      </c>
      <c r="C591">
        <v>45</v>
      </c>
    </row>
    <row r="592" spans="1:3" x14ac:dyDescent="0.3">
      <c r="A592" t="s">
        <v>57</v>
      </c>
      <c r="B592" t="s">
        <v>4</v>
      </c>
      <c r="C592">
        <v>57</v>
      </c>
    </row>
    <row r="593" spans="1:3" x14ac:dyDescent="0.3">
      <c r="A593" t="s">
        <v>57</v>
      </c>
      <c r="B593" t="s">
        <v>5</v>
      </c>
      <c r="C593">
        <v>50</v>
      </c>
    </row>
    <row r="594" spans="1:3" x14ac:dyDescent="0.3">
      <c r="A594" t="s">
        <v>57</v>
      </c>
      <c r="B594" t="s">
        <v>6</v>
      </c>
      <c r="C594">
        <v>56</v>
      </c>
    </row>
    <row r="595" spans="1:3" x14ac:dyDescent="0.3">
      <c r="A595" t="s">
        <v>57</v>
      </c>
      <c r="B595" t="s">
        <v>7</v>
      </c>
      <c r="C595">
        <v>47</v>
      </c>
    </row>
    <row r="596" spans="1:3" x14ac:dyDescent="0.3">
      <c r="A596" t="s">
        <v>57</v>
      </c>
      <c r="B596" t="s">
        <v>8</v>
      </c>
      <c r="C596">
        <v>59</v>
      </c>
    </row>
    <row r="597" spans="1:3" x14ac:dyDescent="0.3">
      <c r="A597" t="s">
        <v>57</v>
      </c>
      <c r="B597" t="s">
        <v>9</v>
      </c>
      <c r="C597">
        <v>53</v>
      </c>
    </row>
    <row r="598" spans="1:3" x14ac:dyDescent="0.3">
      <c r="A598" t="s">
        <v>57</v>
      </c>
      <c r="B598" t="s">
        <v>10</v>
      </c>
      <c r="C598">
        <v>51</v>
      </c>
    </row>
    <row r="599" spans="1:3" x14ac:dyDescent="0.3">
      <c r="A599" t="s">
        <v>57</v>
      </c>
      <c r="B599" t="s">
        <v>11</v>
      </c>
      <c r="C599">
        <v>60</v>
      </c>
    </row>
    <row r="600" spans="1:3" x14ac:dyDescent="0.3">
      <c r="A600" t="s">
        <v>57</v>
      </c>
      <c r="B600" t="s">
        <v>12</v>
      </c>
      <c r="C600">
        <v>32</v>
      </c>
    </row>
    <row r="601" spans="1:3" x14ac:dyDescent="0.3">
      <c r="A601" t="s">
        <v>57</v>
      </c>
      <c r="B601" t="s">
        <v>13</v>
      </c>
      <c r="C601">
        <v>37</v>
      </c>
    </row>
    <row r="602" spans="1:3" x14ac:dyDescent="0.3">
      <c r="A602" t="s">
        <v>57</v>
      </c>
      <c r="B602" t="s">
        <v>14</v>
      </c>
      <c r="C602">
        <v>49</v>
      </c>
    </row>
    <row r="603" spans="1:3" x14ac:dyDescent="0.3">
      <c r="A603" t="s">
        <v>57</v>
      </c>
      <c r="B603" t="s">
        <v>15</v>
      </c>
      <c r="C603">
        <v>61</v>
      </c>
    </row>
    <row r="604" spans="1:3" x14ac:dyDescent="0.3">
      <c r="A604" t="s">
        <v>58</v>
      </c>
      <c r="B604" t="s">
        <v>2</v>
      </c>
      <c r="C604">
        <v>64</v>
      </c>
    </row>
    <row r="605" spans="1:3" x14ac:dyDescent="0.3">
      <c r="A605" t="s">
        <v>58</v>
      </c>
      <c r="B605" t="s">
        <v>3</v>
      </c>
      <c r="C605">
        <v>60</v>
      </c>
    </row>
    <row r="606" spans="1:3" x14ac:dyDescent="0.3">
      <c r="A606" t="s">
        <v>58</v>
      </c>
      <c r="B606" t="s">
        <v>4</v>
      </c>
      <c r="C606">
        <v>59</v>
      </c>
    </row>
    <row r="607" spans="1:3" x14ac:dyDescent="0.3">
      <c r="A607" t="s">
        <v>58</v>
      </c>
      <c r="B607" t="s">
        <v>5</v>
      </c>
      <c r="C607">
        <v>56</v>
      </c>
    </row>
    <row r="608" spans="1:3" x14ac:dyDescent="0.3">
      <c r="A608" t="s">
        <v>58</v>
      </c>
      <c r="B608" t="s">
        <v>6</v>
      </c>
      <c r="C608">
        <v>64</v>
      </c>
    </row>
    <row r="609" spans="1:3" x14ac:dyDescent="0.3">
      <c r="A609" t="s">
        <v>58</v>
      </c>
      <c r="B609" t="s">
        <v>7</v>
      </c>
      <c r="C609">
        <v>40</v>
      </c>
    </row>
    <row r="610" spans="1:3" x14ac:dyDescent="0.3">
      <c r="A610" t="s">
        <v>58</v>
      </c>
      <c r="B610" t="s">
        <v>8</v>
      </c>
      <c r="C610">
        <v>58</v>
      </c>
    </row>
    <row r="611" spans="1:3" x14ac:dyDescent="0.3">
      <c r="A611" t="s">
        <v>58</v>
      </c>
      <c r="B611" t="s">
        <v>9</v>
      </c>
      <c r="C611">
        <v>58</v>
      </c>
    </row>
    <row r="612" spans="1:3" x14ac:dyDescent="0.3">
      <c r="A612" t="s">
        <v>58</v>
      </c>
      <c r="B612" t="s">
        <v>10</v>
      </c>
      <c r="C612">
        <v>40</v>
      </c>
    </row>
    <row r="613" spans="1:3" x14ac:dyDescent="0.3">
      <c r="A613" t="s">
        <v>58</v>
      </c>
      <c r="B613" t="s">
        <v>11</v>
      </c>
      <c r="C613">
        <v>39</v>
      </c>
    </row>
    <row r="614" spans="1:3" x14ac:dyDescent="0.3">
      <c r="A614" t="s">
        <v>58</v>
      </c>
      <c r="B614" t="s">
        <v>12</v>
      </c>
      <c r="C614">
        <v>40</v>
      </c>
    </row>
    <row r="615" spans="1:3" x14ac:dyDescent="0.3">
      <c r="A615" t="s">
        <v>58</v>
      </c>
      <c r="B615" t="s">
        <v>13</v>
      </c>
      <c r="C615">
        <v>35</v>
      </c>
    </row>
    <row r="616" spans="1:3" x14ac:dyDescent="0.3">
      <c r="A616" t="s">
        <v>58</v>
      </c>
      <c r="B616" t="s">
        <v>14</v>
      </c>
      <c r="C616">
        <v>32</v>
      </c>
    </row>
    <row r="617" spans="1:3" x14ac:dyDescent="0.3">
      <c r="A617" t="s">
        <v>58</v>
      </c>
      <c r="B617" t="s">
        <v>15</v>
      </c>
      <c r="C617">
        <v>35</v>
      </c>
    </row>
    <row r="618" spans="1:3" x14ac:dyDescent="0.3">
      <c r="A618" t="s">
        <v>59</v>
      </c>
      <c r="B618" t="s">
        <v>2</v>
      </c>
      <c r="C618">
        <v>35</v>
      </c>
    </row>
    <row r="619" spans="1:3" x14ac:dyDescent="0.3">
      <c r="A619" t="s">
        <v>59</v>
      </c>
      <c r="B619" t="s">
        <v>3</v>
      </c>
      <c r="C619">
        <v>24</v>
      </c>
    </row>
    <row r="620" spans="1:3" x14ac:dyDescent="0.3">
      <c r="A620" t="s">
        <v>59</v>
      </c>
      <c r="B620" t="s">
        <v>4</v>
      </c>
      <c r="C620">
        <v>34</v>
      </c>
    </row>
    <row r="621" spans="1:3" x14ac:dyDescent="0.3">
      <c r="A621" t="s">
        <v>59</v>
      </c>
      <c r="B621" t="s">
        <v>5</v>
      </c>
      <c r="C621">
        <v>44</v>
      </c>
    </row>
    <row r="622" spans="1:3" x14ac:dyDescent="0.3">
      <c r="A622" t="s">
        <v>59</v>
      </c>
      <c r="B622" t="s">
        <v>6</v>
      </c>
      <c r="C622">
        <v>41</v>
      </c>
    </row>
    <row r="623" spans="1:3" x14ac:dyDescent="0.3">
      <c r="A623" t="s">
        <v>59</v>
      </c>
      <c r="B623" t="s">
        <v>7</v>
      </c>
      <c r="C623">
        <v>27</v>
      </c>
    </row>
    <row r="624" spans="1:3" x14ac:dyDescent="0.3">
      <c r="A624" t="s">
        <v>59</v>
      </c>
      <c r="B624" t="s">
        <v>8</v>
      </c>
      <c r="C624">
        <v>52</v>
      </c>
    </row>
    <row r="625" spans="1:3" x14ac:dyDescent="0.3">
      <c r="A625" t="s">
        <v>59</v>
      </c>
      <c r="B625" t="s">
        <v>9</v>
      </c>
      <c r="C625">
        <v>46</v>
      </c>
    </row>
    <row r="626" spans="1:3" x14ac:dyDescent="0.3">
      <c r="A626" t="s">
        <v>59</v>
      </c>
      <c r="B626" t="s">
        <v>10</v>
      </c>
      <c r="C626">
        <v>48</v>
      </c>
    </row>
    <row r="627" spans="1:3" x14ac:dyDescent="0.3">
      <c r="A627" t="s">
        <v>59</v>
      </c>
      <c r="B627" t="s">
        <v>11</v>
      </c>
      <c r="C627">
        <v>42</v>
      </c>
    </row>
    <row r="628" spans="1:3" x14ac:dyDescent="0.3">
      <c r="A628" t="s">
        <v>59</v>
      </c>
      <c r="B628" t="s">
        <v>12</v>
      </c>
      <c r="C628">
        <v>51</v>
      </c>
    </row>
    <row r="629" spans="1:3" x14ac:dyDescent="0.3">
      <c r="A629" t="s">
        <v>59</v>
      </c>
      <c r="B629" t="s">
        <v>13</v>
      </c>
      <c r="C629">
        <v>49</v>
      </c>
    </row>
    <row r="630" spans="1:3" x14ac:dyDescent="0.3">
      <c r="A630" t="s">
        <v>59</v>
      </c>
      <c r="B630" t="s">
        <v>14</v>
      </c>
      <c r="C630">
        <v>51</v>
      </c>
    </row>
    <row r="631" spans="1:3" x14ac:dyDescent="0.3">
      <c r="A631" t="s">
        <v>59</v>
      </c>
      <c r="B631" t="s">
        <v>15</v>
      </c>
      <c r="C631">
        <v>73</v>
      </c>
    </row>
    <row r="632" spans="1:3" x14ac:dyDescent="0.3">
      <c r="A632" t="s">
        <v>60</v>
      </c>
      <c r="B632" t="s">
        <v>2</v>
      </c>
      <c r="C632">
        <v>35</v>
      </c>
    </row>
    <row r="633" spans="1:3" x14ac:dyDescent="0.3">
      <c r="A633" t="s">
        <v>60</v>
      </c>
      <c r="B633" t="s">
        <v>3</v>
      </c>
      <c r="C633">
        <v>24</v>
      </c>
    </row>
    <row r="634" spans="1:3" x14ac:dyDescent="0.3">
      <c r="A634" t="s">
        <v>60</v>
      </c>
      <c r="B634" t="s">
        <v>4</v>
      </c>
      <c r="C634">
        <v>37</v>
      </c>
    </row>
    <row r="635" spans="1:3" x14ac:dyDescent="0.3">
      <c r="A635" t="s">
        <v>60</v>
      </c>
      <c r="B635" t="s">
        <v>5</v>
      </c>
      <c r="C635">
        <v>33</v>
      </c>
    </row>
    <row r="636" spans="1:3" x14ac:dyDescent="0.3">
      <c r="A636" t="s">
        <v>60</v>
      </c>
      <c r="B636" t="s">
        <v>6</v>
      </c>
      <c r="C636">
        <v>36</v>
      </c>
    </row>
    <row r="637" spans="1:3" x14ac:dyDescent="0.3">
      <c r="A637" t="s">
        <v>60</v>
      </c>
      <c r="B637" t="s">
        <v>7</v>
      </c>
      <c r="C637">
        <v>36</v>
      </c>
    </row>
    <row r="638" spans="1:3" x14ac:dyDescent="0.3">
      <c r="A638" t="s">
        <v>60</v>
      </c>
      <c r="B638" t="s">
        <v>8</v>
      </c>
      <c r="C638">
        <v>44</v>
      </c>
    </row>
    <row r="639" spans="1:3" x14ac:dyDescent="0.3">
      <c r="A639" t="s">
        <v>60</v>
      </c>
      <c r="B639" t="s">
        <v>9</v>
      </c>
      <c r="C639">
        <v>48</v>
      </c>
    </row>
    <row r="640" spans="1:3" x14ac:dyDescent="0.3">
      <c r="A640" t="s">
        <v>60</v>
      </c>
      <c r="B640" t="s">
        <v>10</v>
      </c>
      <c r="C640">
        <v>40</v>
      </c>
    </row>
    <row r="641" spans="1:3" x14ac:dyDescent="0.3">
      <c r="A641" t="s">
        <v>60</v>
      </c>
      <c r="B641" t="s">
        <v>11</v>
      </c>
      <c r="C641">
        <v>36</v>
      </c>
    </row>
    <row r="642" spans="1:3" x14ac:dyDescent="0.3">
      <c r="A642" t="s">
        <v>60</v>
      </c>
      <c r="B642" t="s">
        <v>12</v>
      </c>
      <c r="C642">
        <v>31</v>
      </c>
    </row>
    <row r="643" spans="1:3" x14ac:dyDescent="0.3">
      <c r="A643" t="s">
        <v>60</v>
      </c>
      <c r="B643" t="s">
        <v>13</v>
      </c>
      <c r="C643">
        <v>30</v>
      </c>
    </row>
    <row r="644" spans="1:3" x14ac:dyDescent="0.3">
      <c r="A644" t="s">
        <v>60</v>
      </c>
      <c r="B644" t="s">
        <v>14</v>
      </c>
      <c r="C644">
        <v>33</v>
      </c>
    </row>
    <row r="645" spans="1:3" x14ac:dyDescent="0.3">
      <c r="A645" t="s">
        <v>60</v>
      </c>
      <c r="B645" t="s">
        <v>15</v>
      </c>
      <c r="C645">
        <v>43</v>
      </c>
    </row>
    <row r="646" spans="1:3" x14ac:dyDescent="0.3">
      <c r="A646" t="s">
        <v>61</v>
      </c>
      <c r="B646" t="s">
        <v>2</v>
      </c>
      <c r="C646">
        <v>61</v>
      </c>
    </row>
    <row r="647" spans="1:3" x14ac:dyDescent="0.3">
      <c r="A647" t="s">
        <v>61</v>
      </c>
      <c r="B647" t="s">
        <v>3</v>
      </c>
      <c r="C647">
        <v>45</v>
      </c>
    </row>
    <row r="648" spans="1:3" x14ac:dyDescent="0.3">
      <c r="A648" t="s">
        <v>61</v>
      </c>
      <c r="B648" t="s">
        <v>4</v>
      </c>
      <c r="C648">
        <v>45</v>
      </c>
    </row>
    <row r="649" spans="1:3" x14ac:dyDescent="0.3">
      <c r="A649" t="s">
        <v>61</v>
      </c>
      <c r="B649" t="s">
        <v>5</v>
      </c>
      <c r="C649">
        <v>38</v>
      </c>
    </row>
    <row r="650" spans="1:3" x14ac:dyDescent="0.3">
      <c r="A650" t="s">
        <v>61</v>
      </c>
      <c r="B650" t="s">
        <v>6</v>
      </c>
      <c r="C650">
        <v>37</v>
      </c>
    </row>
    <row r="651" spans="1:3" x14ac:dyDescent="0.3">
      <c r="A651" t="s">
        <v>61</v>
      </c>
      <c r="B651" t="s">
        <v>7</v>
      </c>
      <c r="C651">
        <v>47</v>
      </c>
    </row>
    <row r="652" spans="1:3" x14ac:dyDescent="0.3">
      <c r="A652" t="s">
        <v>61</v>
      </c>
      <c r="B652" t="s">
        <v>8</v>
      </c>
      <c r="C652">
        <v>32</v>
      </c>
    </row>
    <row r="653" spans="1:3" x14ac:dyDescent="0.3">
      <c r="A653" t="s">
        <v>61</v>
      </c>
      <c r="B653" t="s">
        <v>9</v>
      </c>
      <c r="C653">
        <v>33</v>
      </c>
    </row>
    <row r="654" spans="1:3" x14ac:dyDescent="0.3">
      <c r="A654" t="s">
        <v>61</v>
      </c>
      <c r="B654" t="s">
        <v>10</v>
      </c>
      <c r="C654">
        <v>26</v>
      </c>
    </row>
    <row r="655" spans="1:3" x14ac:dyDescent="0.3">
      <c r="A655" t="s">
        <v>61</v>
      </c>
      <c r="B655" t="s">
        <v>11</v>
      </c>
      <c r="C655">
        <v>19</v>
      </c>
    </row>
    <row r="656" spans="1:3" x14ac:dyDescent="0.3">
      <c r="A656" t="s">
        <v>61</v>
      </c>
      <c r="B656" t="s">
        <v>12</v>
      </c>
      <c r="C656">
        <v>25</v>
      </c>
    </row>
    <row r="657" spans="1:3" x14ac:dyDescent="0.3">
      <c r="A657" t="s">
        <v>61</v>
      </c>
      <c r="B657" t="s">
        <v>13</v>
      </c>
      <c r="C657">
        <v>16</v>
      </c>
    </row>
    <row r="658" spans="1:3" x14ac:dyDescent="0.3">
      <c r="A658" t="s">
        <v>61</v>
      </c>
      <c r="B658" t="s">
        <v>14</v>
      </c>
      <c r="C658">
        <v>48</v>
      </c>
    </row>
    <row r="659" spans="1:3" x14ac:dyDescent="0.3">
      <c r="A659" t="s">
        <v>61</v>
      </c>
      <c r="B659" t="s">
        <v>15</v>
      </c>
      <c r="C659">
        <v>28</v>
      </c>
    </row>
    <row r="660" spans="1:3" x14ac:dyDescent="0.3">
      <c r="A660" t="s">
        <v>62</v>
      </c>
      <c r="B660" t="s">
        <v>2</v>
      </c>
      <c r="C660">
        <v>24</v>
      </c>
    </row>
    <row r="661" spans="1:3" x14ac:dyDescent="0.3">
      <c r="A661" t="s">
        <v>62</v>
      </c>
      <c r="B661" t="s">
        <v>3</v>
      </c>
      <c r="C661">
        <v>35</v>
      </c>
    </row>
    <row r="662" spans="1:3" x14ac:dyDescent="0.3">
      <c r="A662" t="s">
        <v>62</v>
      </c>
      <c r="B662" t="s">
        <v>4</v>
      </c>
      <c r="C662">
        <v>30</v>
      </c>
    </row>
    <row r="663" spans="1:3" x14ac:dyDescent="0.3">
      <c r="A663" t="s">
        <v>62</v>
      </c>
      <c r="B663" t="s">
        <v>5</v>
      </c>
      <c r="C663">
        <v>35</v>
      </c>
    </row>
    <row r="664" spans="1:3" x14ac:dyDescent="0.3">
      <c r="A664" t="s">
        <v>62</v>
      </c>
      <c r="B664" t="s">
        <v>6</v>
      </c>
      <c r="C664">
        <v>25</v>
      </c>
    </row>
    <row r="665" spans="1:3" x14ac:dyDescent="0.3">
      <c r="A665" t="s">
        <v>62</v>
      </c>
      <c r="B665" t="s">
        <v>7</v>
      </c>
      <c r="C665">
        <v>32</v>
      </c>
    </row>
    <row r="666" spans="1:3" x14ac:dyDescent="0.3">
      <c r="A666" t="s">
        <v>62</v>
      </c>
      <c r="B666" t="s">
        <v>8</v>
      </c>
      <c r="C666">
        <v>35</v>
      </c>
    </row>
    <row r="667" spans="1:3" x14ac:dyDescent="0.3">
      <c r="A667" t="s">
        <v>62</v>
      </c>
      <c r="B667" t="s">
        <v>9</v>
      </c>
      <c r="C667">
        <v>27</v>
      </c>
    </row>
    <row r="668" spans="1:3" x14ac:dyDescent="0.3">
      <c r="A668" t="s">
        <v>62</v>
      </c>
      <c r="B668" t="s">
        <v>10</v>
      </c>
      <c r="C668">
        <v>22</v>
      </c>
    </row>
    <row r="669" spans="1:3" x14ac:dyDescent="0.3">
      <c r="A669" t="s">
        <v>62</v>
      </c>
      <c r="B669" t="s">
        <v>11</v>
      </c>
      <c r="C669">
        <v>27</v>
      </c>
    </row>
    <row r="670" spans="1:3" x14ac:dyDescent="0.3">
      <c r="A670" t="s">
        <v>62</v>
      </c>
      <c r="B670" t="s">
        <v>12</v>
      </c>
      <c r="C670">
        <v>33</v>
      </c>
    </row>
    <row r="671" spans="1:3" x14ac:dyDescent="0.3">
      <c r="A671" t="s">
        <v>62</v>
      </c>
      <c r="B671" t="s">
        <v>13</v>
      </c>
      <c r="C671">
        <v>23</v>
      </c>
    </row>
    <row r="672" spans="1:3" x14ac:dyDescent="0.3">
      <c r="A672" t="s">
        <v>62</v>
      </c>
      <c r="B672" t="s">
        <v>14</v>
      </c>
      <c r="C672">
        <v>30</v>
      </c>
    </row>
    <row r="673" spans="1:3" x14ac:dyDescent="0.3">
      <c r="A673" t="s">
        <v>62</v>
      </c>
      <c r="B673" t="s">
        <v>15</v>
      </c>
      <c r="C673">
        <v>32</v>
      </c>
    </row>
    <row r="674" spans="1:3" x14ac:dyDescent="0.3">
      <c r="A674" t="s">
        <v>63</v>
      </c>
      <c r="B674" t="s">
        <v>2</v>
      </c>
      <c r="C674">
        <v>39</v>
      </c>
    </row>
    <row r="675" spans="1:3" x14ac:dyDescent="0.3">
      <c r="A675" t="s">
        <v>63</v>
      </c>
      <c r="B675" t="s">
        <v>3</v>
      </c>
      <c r="C675">
        <v>40</v>
      </c>
    </row>
    <row r="676" spans="1:3" x14ac:dyDescent="0.3">
      <c r="A676" t="s">
        <v>63</v>
      </c>
      <c r="B676" t="s">
        <v>4</v>
      </c>
      <c r="C676">
        <v>37</v>
      </c>
    </row>
    <row r="677" spans="1:3" x14ac:dyDescent="0.3">
      <c r="A677" t="s">
        <v>63</v>
      </c>
      <c r="B677" t="s">
        <v>5</v>
      </c>
      <c r="C677">
        <v>35</v>
      </c>
    </row>
    <row r="678" spans="1:3" x14ac:dyDescent="0.3">
      <c r="A678" t="s">
        <v>63</v>
      </c>
      <c r="B678" t="s">
        <v>6</v>
      </c>
      <c r="C678">
        <v>35</v>
      </c>
    </row>
    <row r="679" spans="1:3" x14ac:dyDescent="0.3">
      <c r="A679" t="s">
        <v>63</v>
      </c>
      <c r="B679" t="s">
        <v>7</v>
      </c>
      <c r="C679">
        <v>16</v>
      </c>
    </row>
    <row r="680" spans="1:3" x14ac:dyDescent="0.3">
      <c r="A680" t="s">
        <v>63</v>
      </c>
      <c r="B680" t="s">
        <v>8</v>
      </c>
      <c r="C680">
        <v>20</v>
      </c>
    </row>
    <row r="681" spans="1:3" x14ac:dyDescent="0.3">
      <c r="A681" t="s">
        <v>63</v>
      </c>
      <c r="B681" t="s">
        <v>9</v>
      </c>
      <c r="C681">
        <v>21</v>
      </c>
    </row>
    <row r="682" spans="1:3" x14ac:dyDescent="0.3">
      <c r="A682" t="s">
        <v>63</v>
      </c>
      <c r="B682" t="s">
        <v>10</v>
      </c>
      <c r="C682">
        <v>25</v>
      </c>
    </row>
    <row r="683" spans="1:3" x14ac:dyDescent="0.3">
      <c r="A683" t="s">
        <v>63</v>
      </c>
      <c r="B683" t="s">
        <v>11</v>
      </c>
      <c r="C683">
        <v>23</v>
      </c>
    </row>
    <row r="684" spans="1:3" x14ac:dyDescent="0.3">
      <c r="A684" t="s">
        <v>63</v>
      </c>
      <c r="B684" t="s">
        <v>12</v>
      </c>
      <c r="C684">
        <v>17</v>
      </c>
    </row>
    <row r="685" spans="1:3" x14ac:dyDescent="0.3">
      <c r="A685" t="s">
        <v>63</v>
      </c>
      <c r="B685" t="s">
        <v>13</v>
      </c>
      <c r="C685">
        <v>27</v>
      </c>
    </row>
    <row r="686" spans="1:3" x14ac:dyDescent="0.3">
      <c r="A686" t="s">
        <v>63</v>
      </c>
      <c r="B686" t="s">
        <v>14</v>
      </c>
      <c r="C686">
        <v>29</v>
      </c>
    </row>
    <row r="687" spans="1:3" x14ac:dyDescent="0.3">
      <c r="A687" t="s">
        <v>63</v>
      </c>
      <c r="B687" t="s">
        <v>15</v>
      </c>
      <c r="C687">
        <v>24</v>
      </c>
    </row>
    <row r="688" spans="1:3" x14ac:dyDescent="0.3">
      <c r="A688" t="s">
        <v>64</v>
      </c>
      <c r="B688" t="s">
        <v>2</v>
      </c>
      <c r="C688">
        <v>27</v>
      </c>
    </row>
    <row r="689" spans="1:3" x14ac:dyDescent="0.3">
      <c r="A689" t="s">
        <v>64</v>
      </c>
      <c r="B689" t="s">
        <v>3</v>
      </c>
      <c r="C689">
        <v>21</v>
      </c>
    </row>
    <row r="690" spans="1:3" x14ac:dyDescent="0.3">
      <c r="A690" t="s">
        <v>64</v>
      </c>
      <c r="B690" t="s">
        <v>4</v>
      </c>
      <c r="C690">
        <v>29</v>
      </c>
    </row>
    <row r="691" spans="1:3" x14ac:dyDescent="0.3">
      <c r="A691" t="s">
        <v>64</v>
      </c>
      <c r="B691" t="s">
        <v>5</v>
      </c>
      <c r="C691">
        <v>22</v>
      </c>
    </row>
    <row r="692" spans="1:3" x14ac:dyDescent="0.3">
      <c r="A692" t="s">
        <v>64</v>
      </c>
      <c r="B692" t="s">
        <v>6</v>
      </c>
      <c r="C692">
        <v>17</v>
      </c>
    </row>
    <row r="693" spans="1:3" x14ac:dyDescent="0.3">
      <c r="A693" t="s">
        <v>64</v>
      </c>
      <c r="B693" t="s">
        <v>7</v>
      </c>
      <c r="C693">
        <v>18</v>
      </c>
    </row>
    <row r="694" spans="1:3" x14ac:dyDescent="0.3">
      <c r="A694" t="s">
        <v>64</v>
      </c>
      <c r="B694" t="s">
        <v>8</v>
      </c>
      <c r="C694">
        <v>20</v>
      </c>
    </row>
    <row r="695" spans="1:3" x14ac:dyDescent="0.3">
      <c r="A695" t="s">
        <v>64</v>
      </c>
      <c r="B695" t="s">
        <v>9</v>
      </c>
      <c r="C695">
        <v>14</v>
      </c>
    </row>
    <row r="696" spans="1:3" x14ac:dyDescent="0.3">
      <c r="A696" t="s">
        <v>64</v>
      </c>
      <c r="B696" t="s">
        <v>10</v>
      </c>
      <c r="C696">
        <v>24</v>
      </c>
    </row>
    <row r="697" spans="1:3" x14ac:dyDescent="0.3">
      <c r="A697" t="s">
        <v>64</v>
      </c>
      <c r="B697" t="s">
        <v>11</v>
      </c>
      <c r="C697">
        <v>15</v>
      </c>
    </row>
    <row r="698" spans="1:3" x14ac:dyDescent="0.3">
      <c r="A698" t="s">
        <v>64</v>
      </c>
      <c r="B698" t="s">
        <v>12</v>
      </c>
      <c r="C698">
        <v>17</v>
      </c>
    </row>
    <row r="699" spans="1:3" x14ac:dyDescent="0.3">
      <c r="A699" t="s">
        <v>64</v>
      </c>
      <c r="B699" t="s">
        <v>13</v>
      </c>
      <c r="C699">
        <v>21</v>
      </c>
    </row>
    <row r="700" spans="1:3" x14ac:dyDescent="0.3">
      <c r="A700" t="s">
        <v>64</v>
      </c>
      <c r="B700" t="s">
        <v>14</v>
      </c>
      <c r="C700">
        <v>24</v>
      </c>
    </row>
    <row r="701" spans="1:3" x14ac:dyDescent="0.3">
      <c r="A701" t="s">
        <v>64</v>
      </c>
      <c r="B701" t="s">
        <v>15</v>
      </c>
      <c r="C701">
        <v>16</v>
      </c>
    </row>
    <row r="702" spans="1:3" x14ac:dyDescent="0.3">
      <c r="A702" t="s">
        <v>65</v>
      </c>
      <c r="B702" t="s">
        <v>2</v>
      </c>
      <c r="C702">
        <v>6</v>
      </c>
    </row>
    <row r="703" spans="1:3" x14ac:dyDescent="0.3">
      <c r="A703" t="s">
        <v>65</v>
      </c>
      <c r="B703" t="s">
        <v>3</v>
      </c>
      <c r="C703">
        <v>15</v>
      </c>
    </row>
    <row r="704" spans="1:3" x14ac:dyDescent="0.3">
      <c r="A704" t="s">
        <v>65</v>
      </c>
      <c r="B704" t="s">
        <v>4</v>
      </c>
      <c r="C704">
        <v>22</v>
      </c>
    </row>
    <row r="705" spans="1:3" x14ac:dyDescent="0.3">
      <c r="A705" t="s">
        <v>65</v>
      </c>
      <c r="B705" t="s">
        <v>5</v>
      </c>
      <c r="C705">
        <v>11</v>
      </c>
    </row>
    <row r="706" spans="1:3" x14ac:dyDescent="0.3">
      <c r="A706" t="s">
        <v>65</v>
      </c>
      <c r="B706" t="s">
        <v>6</v>
      </c>
      <c r="C706">
        <v>13</v>
      </c>
    </row>
    <row r="707" spans="1:3" x14ac:dyDescent="0.3">
      <c r="A707" t="s">
        <v>65</v>
      </c>
      <c r="B707" t="s">
        <v>7</v>
      </c>
      <c r="C707">
        <v>27</v>
      </c>
    </row>
    <row r="708" spans="1:3" x14ac:dyDescent="0.3">
      <c r="A708" t="s">
        <v>65</v>
      </c>
      <c r="B708" t="s">
        <v>8</v>
      </c>
      <c r="C708">
        <v>24</v>
      </c>
    </row>
    <row r="709" spans="1:3" x14ac:dyDescent="0.3">
      <c r="A709" t="s">
        <v>65</v>
      </c>
      <c r="B709" t="s">
        <v>9</v>
      </c>
      <c r="C709">
        <v>17</v>
      </c>
    </row>
    <row r="710" spans="1:3" x14ac:dyDescent="0.3">
      <c r="A710" t="s">
        <v>65</v>
      </c>
      <c r="B710" t="s">
        <v>10</v>
      </c>
      <c r="C710">
        <v>21</v>
      </c>
    </row>
    <row r="711" spans="1:3" x14ac:dyDescent="0.3">
      <c r="A711" t="s">
        <v>65</v>
      </c>
      <c r="B711" t="s">
        <v>11</v>
      </c>
      <c r="C711">
        <v>27</v>
      </c>
    </row>
    <row r="712" spans="1:3" x14ac:dyDescent="0.3">
      <c r="A712" t="s">
        <v>65</v>
      </c>
      <c r="B712" t="s">
        <v>12</v>
      </c>
      <c r="C712">
        <v>21</v>
      </c>
    </row>
    <row r="713" spans="1:3" x14ac:dyDescent="0.3">
      <c r="A713" t="s">
        <v>65</v>
      </c>
      <c r="B713" t="s">
        <v>13</v>
      </c>
      <c r="C713">
        <v>22</v>
      </c>
    </row>
    <row r="714" spans="1:3" x14ac:dyDescent="0.3">
      <c r="A714" t="s">
        <v>65</v>
      </c>
      <c r="B714" t="s">
        <v>14</v>
      </c>
      <c r="C714">
        <v>24</v>
      </c>
    </row>
    <row r="715" spans="1:3" x14ac:dyDescent="0.3">
      <c r="A715" t="s">
        <v>65</v>
      </c>
      <c r="B715" t="s">
        <v>15</v>
      </c>
      <c r="C715">
        <v>24</v>
      </c>
    </row>
    <row r="716" spans="1:3" x14ac:dyDescent="0.3">
      <c r="A716" t="s">
        <v>66</v>
      </c>
      <c r="B716" t="s">
        <v>2</v>
      </c>
      <c r="C716">
        <v>16</v>
      </c>
    </row>
    <row r="717" spans="1:3" x14ac:dyDescent="0.3">
      <c r="A717" t="s">
        <v>66</v>
      </c>
      <c r="B717" t="s">
        <v>3</v>
      </c>
      <c r="C717">
        <v>9</v>
      </c>
    </row>
    <row r="718" spans="1:3" x14ac:dyDescent="0.3">
      <c r="A718" t="s">
        <v>66</v>
      </c>
      <c r="B718" t="s">
        <v>4</v>
      </c>
      <c r="C718">
        <v>10</v>
      </c>
    </row>
    <row r="719" spans="1:3" x14ac:dyDescent="0.3">
      <c r="A719" t="s">
        <v>66</v>
      </c>
      <c r="B719" t="s">
        <v>5</v>
      </c>
      <c r="C719">
        <v>16</v>
      </c>
    </row>
    <row r="720" spans="1:3" x14ac:dyDescent="0.3">
      <c r="A720" t="s">
        <v>66</v>
      </c>
      <c r="B720" t="s">
        <v>6</v>
      </c>
      <c r="C720">
        <v>23</v>
      </c>
    </row>
    <row r="721" spans="1:3" x14ac:dyDescent="0.3">
      <c r="A721" t="s">
        <v>66</v>
      </c>
      <c r="B721" t="s">
        <v>7</v>
      </c>
      <c r="C721">
        <v>11</v>
      </c>
    </row>
    <row r="722" spans="1:3" x14ac:dyDescent="0.3">
      <c r="A722" t="s">
        <v>66</v>
      </c>
      <c r="B722" t="s">
        <v>8</v>
      </c>
      <c r="C722">
        <v>12</v>
      </c>
    </row>
    <row r="723" spans="1:3" x14ac:dyDescent="0.3">
      <c r="A723" t="s">
        <v>66</v>
      </c>
      <c r="B723" t="s">
        <v>9</v>
      </c>
      <c r="C723">
        <v>16</v>
      </c>
    </row>
    <row r="724" spans="1:3" x14ac:dyDescent="0.3">
      <c r="A724" t="s">
        <v>66</v>
      </c>
      <c r="B724" t="s">
        <v>10</v>
      </c>
      <c r="C724">
        <v>22</v>
      </c>
    </row>
    <row r="725" spans="1:3" x14ac:dyDescent="0.3">
      <c r="A725" t="s">
        <v>66</v>
      </c>
      <c r="B725" t="s">
        <v>11</v>
      </c>
      <c r="C725">
        <v>31</v>
      </c>
    </row>
    <row r="726" spans="1:3" x14ac:dyDescent="0.3">
      <c r="A726" t="s">
        <v>66</v>
      </c>
      <c r="B726" t="s">
        <v>12</v>
      </c>
      <c r="C726">
        <v>12</v>
      </c>
    </row>
    <row r="727" spans="1:3" x14ac:dyDescent="0.3">
      <c r="A727" t="s">
        <v>66</v>
      </c>
      <c r="B727" t="s">
        <v>13</v>
      </c>
      <c r="C727">
        <v>11</v>
      </c>
    </row>
    <row r="728" spans="1:3" x14ac:dyDescent="0.3">
      <c r="A728" t="s">
        <v>66</v>
      </c>
      <c r="B728" t="s">
        <v>14</v>
      </c>
      <c r="C728">
        <v>23</v>
      </c>
    </row>
    <row r="729" spans="1:3" x14ac:dyDescent="0.3">
      <c r="A729" t="s">
        <v>66</v>
      </c>
      <c r="B729" t="s">
        <v>15</v>
      </c>
      <c r="C729">
        <v>16</v>
      </c>
    </row>
    <row r="730" spans="1:3" x14ac:dyDescent="0.3">
      <c r="A730" t="s">
        <v>67</v>
      </c>
      <c r="B730" t="s">
        <v>2</v>
      </c>
      <c r="C730">
        <v>10</v>
      </c>
    </row>
    <row r="731" spans="1:3" x14ac:dyDescent="0.3">
      <c r="A731" t="s">
        <v>67</v>
      </c>
      <c r="B731" t="s">
        <v>3</v>
      </c>
      <c r="C731">
        <v>12</v>
      </c>
    </row>
    <row r="732" spans="1:3" x14ac:dyDescent="0.3">
      <c r="A732" t="s">
        <v>67</v>
      </c>
      <c r="B732" t="s">
        <v>4</v>
      </c>
      <c r="C732">
        <v>14</v>
      </c>
    </row>
    <row r="733" spans="1:3" x14ac:dyDescent="0.3">
      <c r="A733" t="s">
        <v>67</v>
      </c>
      <c r="B733" t="s">
        <v>5</v>
      </c>
      <c r="C733">
        <v>6</v>
      </c>
    </row>
    <row r="734" spans="1:3" x14ac:dyDescent="0.3">
      <c r="A734" t="s">
        <v>67</v>
      </c>
      <c r="B734" t="s">
        <v>6</v>
      </c>
      <c r="C734">
        <v>9</v>
      </c>
    </row>
    <row r="735" spans="1:3" x14ac:dyDescent="0.3">
      <c r="A735" t="s">
        <v>67</v>
      </c>
      <c r="B735" t="s">
        <v>7</v>
      </c>
      <c r="C735">
        <v>20</v>
      </c>
    </row>
    <row r="736" spans="1:3" x14ac:dyDescent="0.3">
      <c r="A736" t="s">
        <v>67</v>
      </c>
      <c r="B736" t="s">
        <v>8</v>
      </c>
      <c r="C736">
        <v>13</v>
      </c>
    </row>
    <row r="737" spans="1:3" x14ac:dyDescent="0.3">
      <c r="A737" t="s">
        <v>67</v>
      </c>
      <c r="B737" t="s">
        <v>9</v>
      </c>
      <c r="C737">
        <v>11</v>
      </c>
    </row>
    <row r="738" spans="1:3" x14ac:dyDescent="0.3">
      <c r="A738" t="s">
        <v>67</v>
      </c>
      <c r="B738" t="s">
        <v>10</v>
      </c>
      <c r="C738">
        <v>10</v>
      </c>
    </row>
    <row r="739" spans="1:3" x14ac:dyDescent="0.3">
      <c r="A739" t="s">
        <v>67</v>
      </c>
      <c r="B739" t="s">
        <v>11</v>
      </c>
      <c r="C739">
        <v>11</v>
      </c>
    </row>
    <row r="740" spans="1:3" x14ac:dyDescent="0.3">
      <c r="A740" t="s">
        <v>67</v>
      </c>
      <c r="B740" t="s">
        <v>12</v>
      </c>
      <c r="C740">
        <v>10</v>
      </c>
    </row>
    <row r="741" spans="1:3" x14ac:dyDescent="0.3">
      <c r="A741" t="s">
        <v>67</v>
      </c>
      <c r="B741" t="s">
        <v>13</v>
      </c>
      <c r="C741">
        <v>11</v>
      </c>
    </row>
    <row r="742" spans="1:3" x14ac:dyDescent="0.3">
      <c r="A742" t="s">
        <v>67</v>
      </c>
      <c r="B742" t="s">
        <v>14</v>
      </c>
      <c r="C742">
        <v>11</v>
      </c>
    </row>
    <row r="743" spans="1:3" x14ac:dyDescent="0.3">
      <c r="A743" t="s">
        <v>67</v>
      </c>
      <c r="B743" t="s">
        <v>15</v>
      </c>
      <c r="C743">
        <v>10</v>
      </c>
    </row>
    <row r="744" spans="1:3" x14ac:dyDescent="0.3">
      <c r="A744" t="s">
        <v>68</v>
      </c>
      <c r="B744" t="s">
        <v>2</v>
      </c>
      <c r="C744">
        <v>4</v>
      </c>
    </row>
    <row r="745" spans="1:3" x14ac:dyDescent="0.3">
      <c r="A745" t="s">
        <v>68</v>
      </c>
      <c r="B745" t="s">
        <v>3</v>
      </c>
      <c r="C745">
        <v>9</v>
      </c>
    </row>
    <row r="746" spans="1:3" x14ac:dyDescent="0.3">
      <c r="A746" t="s">
        <v>68</v>
      </c>
      <c r="B746" t="s">
        <v>4</v>
      </c>
      <c r="C746">
        <v>7</v>
      </c>
    </row>
    <row r="747" spans="1:3" x14ac:dyDescent="0.3">
      <c r="A747" t="s">
        <v>68</v>
      </c>
      <c r="B747" t="s">
        <v>5</v>
      </c>
      <c r="C747">
        <v>9</v>
      </c>
    </row>
    <row r="748" spans="1:3" x14ac:dyDescent="0.3">
      <c r="A748" t="s">
        <v>68</v>
      </c>
      <c r="B748" t="s">
        <v>6</v>
      </c>
      <c r="C748">
        <v>14</v>
      </c>
    </row>
    <row r="749" spans="1:3" x14ac:dyDescent="0.3">
      <c r="A749" t="s">
        <v>68</v>
      </c>
      <c r="B749" t="s">
        <v>7</v>
      </c>
      <c r="C749">
        <v>12</v>
      </c>
    </row>
    <row r="750" spans="1:3" x14ac:dyDescent="0.3">
      <c r="A750" t="s">
        <v>68</v>
      </c>
      <c r="B750" t="s">
        <v>8</v>
      </c>
      <c r="C750">
        <v>14</v>
      </c>
    </row>
    <row r="751" spans="1:3" x14ac:dyDescent="0.3">
      <c r="A751" t="s">
        <v>68</v>
      </c>
      <c r="B751" t="s">
        <v>9</v>
      </c>
      <c r="C751">
        <v>12</v>
      </c>
    </row>
    <row r="752" spans="1:3" x14ac:dyDescent="0.3">
      <c r="A752" t="s">
        <v>68</v>
      </c>
      <c r="B752" t="s">
        <v>10</v>
      </c>
      <c r="C752">
        <v>11</v>
      </c>
    </row>
    <row r="753" spans="1:3" x14ac:dyDescent="0.3">
      <c r="A753" t="s">
        <v>68</v>
      </c>
      <c r="B753" t="s">
        <v>11</v>
      </c>
      <c r="C753">
        <v>11</v>
      </c>
    </row>
    <row r="754" spans="1:3" x14ac:dyDescent="0.3">
      <c r="A754" t="s">
        <v>68</v>
      </c>
      <c r="B754" t="s">
        <v>12</v>
      </c>
      <c r="C754">
        <v>6</v>
      </c>
    </row>
    <row r="755" spans="1:3" x14ac:dyDescent="0.3">
      <c r="A755" t="s">
        <v>68</v>
      </c>
      <c r="B755" t="s">
        <v>13</v>
      </c>
      <c r="C755">
        <v>11</v>
      </c>
    </row>
    <row r="756" spans="1:3" x14ac:dyDescent="0.3">
      <c r="A756" t="s">
        <v>68</v>
      </c>
      <c r="B756" t="s">
        <v>14</v>
      </c>
      <c r="C756">
        <v>5</v>
      </c>
    </row>
    <row r="757" spans="1:3" x14ac:dyDescent="0.3">
      <c r="A757" t="s">
        <v>68</v>
      </c>
      <c r="B757" t="s">
        <v>15</v>
      </c>
      <c r="C757">
        <v>9</v>
      </c>
    </row>
    <row r="758" spans="1:3" x14ac:dyDescent="0.3">
      <c r="A758" t="s">
        <v>69</v>
      </c>
      <c r="B758" t="s">
        <v>2</v>
      </c>
      <c r="C758">
        <v>11</v>
      </c>
    </row>
    <row r="759" spans="1:3" x14ac:dyDescent="0.3">
      <c r="A759" t="s">
        <v>69</v>
      </c>
      <c r="B759" t="s">
        <v>3</v>
      </c>
      <c r="C759">
        <v>7</v>
      </c>
    </row>
    <row r="760" spans="1:3" x14ac:dyDescent="0.3">
      <c r="A760" t="s">
        <v>69</v>
      </c>
      <c r="B760" t="s">
        <v>4</v>
      </c>
      <c r="C760">
        <v>3</v>
      </c>
    </row>
    <row r="761" spans="1:3" x14ac:dyDescent="0.3">
      <c r="A761" t="s">
        <v>69</v>
      </c>
      <c r="B761" t="s">
        <v>5</v>
      </c>
      <c r="C761">
        <v>7</v>
      </c>
    </row>
    <row r="762" spans="1:3" x14ac:dyDescent="0.3">
      <c r="A762" t="s">
        <v>69</v>
      </c>
      <c r="B762" t="s">
        <v>6</v>
      </c>
      <c r="C762">
        <v>12</v>
      </c>
    </row>
    <row r="763" spans="1:3" x14ac:dyDescent="0.3">
      <c r="A763" t="s">
        <v>69</v>
      </c>
      <c r="B763" t="s">
        <v>7</v>
      </c>
      <c r="C763">
        <v>8</v>
      </c>
    </row>
    <row r="764" spans="1:3" x14ac:dyDescent="0.3">
      <c r="A764" t="s">
        <v>69</v>
      </c>
      <c r="B764" t="s">
        <v>8</v>
      </c>
      <c r="C764">
        <v>6</v>
      </c>
    </row>
    <row r="765" spans="1:3" x14ac:dyDescent="0.3">
      <c r="A765" t="s">
        <v>69</v>
      </c>
      <c r="B765" t="s">
        <v>9</v>
      </c>
      <c r="C765">
        <v>7</v>
      </c>
    </row>
    <row r="766" spans="1:3" x14ac:dyDescent="0.3">
      <c r="A766" t="s">
        <v>69</v>
      </c>
      <c r="B766" t="s">
        <v>10</v>
      </c>
      <c r="C766">
        <v>8</v>
      </c>
    </row>
    <row r="767" spans="1:3" x14ac:dyDescent="0.3">
      <c r="A767" t="s">
        <v>69</v>
      </c>
      <c r="B767" t="s">
        <v>11</v>
      </c>
      <c r="C767">
        <v>7</v>
      </c>
    </row>
    <row r="768" spans="1:3" x14ac:dyDescent="0.3">
      <c r="A768" t="s">
        <v>69</v>
      </c>
      <c r="B768" t="s">
        <v>12</v>
      </c>
      <c r="C768">
        <v>5</v>
      </c>
    </row>
    <row r="769" spans="1:3" x14ac:dyDescent="0.3">
      <c r="A769" t="s">
        <v>69</v>
      </c>
      <c r="B769" t="s">
        <v>13</v>
      </c>
      <c r="C769">
        <v>9</v>
      </c>
    </row>
    <row r="770" spans="1:3" x14ac:dyDescent="0.3">
      <c r="A770" t="s">
        <v>69</v>
      </c>
      <c r="B770" t="s">
        <v>14</v>
      </c>
      <c r="C770">
        <v>11</v>
      </c>
    </row>
    <row r="771" spans="1:3" x14ac:dyDescent="0.3">
      <c r="A771" t="s">
        <v>69</v>
      </c>
      <c r="B771" t="s">
        <v>15</v>
      </c>
      <c r="C771">
        <v>8</v>
      </c>
    </row>
    <row r="772" spans="1:3" x14ac:dyDescent="0.3">
      <c r="A772" t="s">
        <v>70</v>
      </c>
      <c r="B772" t="s">
        <v>2</v>
      </c>
      <c r="C772">
        <v>1</v>
      </c>
    </row>
    <row r="773" spans="1:3" x14ac:dyDescent="0.3">
      <c r="A773" t="s">
        <v>70</v>
      </c>
      <c r="B773" t="s">
        <v>3</v>
      </c>
      <c r="C773">
        <v>3</v>
      </c>
    </row>
    <row r="774" spans="1:3" x14ac:dyDescent="0.3">
      <c r="A774" t="s">
        <v>70</v>
      </c>
      <c r="B774" t="s">
        <v>4</v>
      </c>
      <c r="C774">
        <v>5</v>
      </c>
    </row>
    <row r="775" spans="1:3" x14ac:dyDescent="0.3">
      <c r="A775" t="s">
        <v>70</v>
      </c>
      <c r="B775" t="s">
        <v>5</v>
      </c>
      <c r="C775">
        <v>4</v>
      </c>
    </row>
    <row r="776" spans="1:3" x14ac:dyDescent="0.3">
      <c r="A776" t="s">
        <v>70</v>
      </c>
      <c r="B776" t="s">
        <v>6</v>
      </c>
      <c r="C776">
        <v>5</v>
      </c>
    </row>
    <row r="777" spans="1:3" x14ac:dyDescent="0.3">
      <c r="A777" t="s">
        <v>70</v>
      </c>
      <c r="B777" t="s">
        <v>7</v>
      </c>
      <c r="C777">
        <v>2</v>
      </c>
    </row>
    <row r="778" spans="1:3" x14ac:dyDescent="0.3">
      <c r="A778" t="s">
        <v>70</v>
      </c>
      <c r="B778" t="s">
        <v>8</v>
      </c>
      <c r="C778">
        <v>3</v>
      </c>
    </row>
    <row r="779" spans="1:3" x14ac:dyDescent="0.3">
      <c r="A779" t="s">
        <v>70</v>
      </c>
      <c r="B779" t="s">
        <v>9</v>
      </c>
      <c r="C779">
        <v>3</v>
      </c>
    </row>
    <row r="780" spans="1:3" x14ac:dyDescent="0.3">
      <c r="A780" t="s">
        <v>70</v>
      </c>
      <c r="B780" t="s">
        <v>10</v>
      </c>
      <c r="C780">
        <v>3</v>
      </c>
    </row>
    <row r="781" spans="1:3" x14ac:dyDescent="0.3">
      <c r="A781" t="s">
        <v>70</v>
      </c>
      <c r="B781" t="s">
        <v>11</v>
      </c>
      <c r="C781">
        <v>2</v>
      </c>
    </row>
    <row r="782" spans="1:3" x14ac:dyDescent="0.3">
      <c r="A782" t="s">
        <v>70</v>
      </c>
      <c r="B782" t="s">
        <v>12</v>
      </c>
      <c r="C782">
        <v>5</v>
      </c>
    </row>
    <row r="783" spans="1:3" x14ac:dyDescent="0.3">
      <c r="A783" t="s">
        <v>70</v>
      </c>
      <c r="B783" t="s">
        <v>13</v>
      </c>
      <c r="C783">
        <v>7</v>
      </c>
    </row>
    <row r="784" spans="1:3" x14ac:dyDescent="0.3">
      <c r="A784" t="s">
        <v>70</v>
      </c>
      <c r="B784" t="s">
        <v>14</v>
      </c>
      <c r="C784">
        <v>3</v>
      </c>
    </row>
    <row r="785" spans="1:3" x14ac:dyDescent="0.3">
      <c r="A785" t="s">
        <v>70</v>
      </c>
      <c r="B785" t="s">
        <v>15</v>
      </c>
      <c r="C785">
        <v>6</v>
      </c>
    </row>
    <row r="786" spans="1:3" x14ac:dyDescent="0.3">
      <c r="A786" t="s">
        <v>71</v>
      </c>
      <c r="B786" t="s">
        <v>2</v>
      </c>
      <c r="C786">
        <v>2</v>
      </c>
    </row>
    <row r="787" spans="1:3" x14ac:dyDescent="0.3">
      <c r="A787" t="s">
        <v>71</v>
      </c>
      <c r="B787" t="s">
        <v>3</v>
      </c>
      <c r="C787">
        <v>3</v>
      </c>
    </row>
    <row r="788" spans="1:3" x14ac:dyDescent="0.3">
      <c r="A788" t="s">
        <v>71</v>
      </c>
      <c r="B788" t="s">
        <v>4</v>
      </c>
      <c r="C788">
        <v>1</v>
      </c>
    </row>
    <row r="789" spans="1:3" x14ac:dyDescent="0.3">
      <c r="A789" t="s">
        <v>71</v>
      </c>
      <c r="B789" t="s">
        <v>5</v>
      </c>
      <c r="C789">
        <v>3</v>
      </c>
    </row>
    <row r="790" spans="1:3" x14ac:dyDescent="0.3">
      <c r="A790" t="s">
        <v>71</v>
      </c>
      <c r="B790" t="s">
        <v>6</v>
      </c>
      <c r="C790">
        <v>1</v>
      </c>
    </row>
    <row r="791" spans="1:3" x14ac:dyDescent="0.3">
      <c r="A791" t="s">
        <v>71</v>
      </c>
      <c r="B791" t="s">
        <v>7</v>
      </c>
      <c r="C791">
        <v>3</v>
      </c>
    </row>
    <row r="792" spans="1:3" x14ac:dyDescent="0.3">
      <c r="A792" t="s">
        <v>71</v>
      </c>
      <c r="B792" t="s">
        <v>8</v>
      </c>
      <c r="C792">
        <v>3</v>
      </c>
    </row>
    <row r="793" spans="1:3" x14ac:dyDescent="0.3">
      <c r="A793" t="s">
        <v>71</v>
      </c>
      <c r="B793" t="s">
        <v>9</v>
      </c>
      <c r="C793">
        <v>3</v>
      </c>
    </row>
    <row r="794" spans="1:3" x14ac:dyDescent="0.3">
      <c r="A794" t="s">
        <v>71</v>
      </c>
      <c r="B794" t="s">
        <v>10</v>
      </c>
      <c r="C794">
        <v>5</v>
      </c>
    </row>
    <row r="795" spans="1:3" x14ac:dyDescent="0.3">
      <c r="A795" t="s">
        <v>71</v>
      </c>
      <c r="B795" t="s">
        <v>11</v>
      </c>
      <c r="C795">
        <v>5</v>
      </c>
    </row>
    <row r="796" spans="1:3" x14ac:dyDescent="0.3">
      <c r="A796" t="s">
        <v>71</v>
      </c>
      <c r="B796" t="s">
        <v>12</v>
      </c>
      <c r="C796">
        <v>3</v>
      </c>
    </row>
    <row r="797" spans="1:3" x14ac:dyDescent="0.3">
      <c r="A797" t="s">
        <v>71</v>
      </c>
      <c r="B797" t="s">
        <v>13</v>
      </c>
      <c r="C797">
        <v>2</v>
      </c>
    </row>
    <row r="798" spans="1:3" x14ac:dyDescent="0.3">
      <c r="A798" t="s">
        <v>71</v>
      </c>
      <c r="B798" t="s">
        <v>14</v>
      </c>
      <c r="C798">
        <v>3</v>
      </c>
    </row>
    <row r="799" spans="1:3" x14ac:dyDescent="0.3">
      <c r="A799" t="s">
        <v>71</v>
      </c>
      <c r="B799" t="s">
        <v>15</v>
      </c>
      <c r="C799">
        <v>0</v>
      </c>
    </row>
    <row r="800" spans="1:3" x14ac:dyDescent="0.3">
      <c r="A800" t="s">
        <v>72</v>
      </c>
      <c r="B800" t="s">
        <v>2</v>
      </c>
      <c r="C800">
        <v>0</v>
      </c>
    </row>
    <row r="801" spans="1:3" x14ac:dyDescent="0.3">
      <c r="A801" t="s">
        <v>72</v>
      </c>
      <c r="B801" t="s">
        <v>3</v>
      </c>
      <c r="C801">
        <v>1</v>
      </c>
    </row>
    <row r="802" spans="1:3" x14ac:dyDescent="0.3">
      <c r="A802" t="s">
        <v>72</v>
      </c>
      <c r="B802" t="s">
        <v>4</v>
      </c>
      <c r="C802">
        <v>0</v>
      </c>
    </row>
    <row r="803" spans="1:3" x14ac:dyDescent="0.3">
      <c r="A803" t="s">
        <v>72</v>
      </c>
      <c r="B803" t="s">
        <v>5</v>
      </c>
      <c r="C803">
        <v>1</v>
      </c>
    </row>
    <row r="804" spans="1:3" x14ac:dyDescent="0.3">
      <c r="A804" t="s">
        <v>72</v>
      </c>
      <c r="B804" t="s">
        <v>6</v>
      </c>
      <c r="C804">
        <v>0</v>
      </c>
    </row>
    <row r="805" spans="1:3" x14ac:dyDescent="0.3">
      <c r="A805" t="s">
        <v>72</v>
      </c>
      <c r="B805" t="s">
        <v>7</v>
      </c>
      <c r="C805">
        <v>0</v>
      </c>
    </row>
    <row r="806" spans="1:3" x14ac:dyDescent="0.3">
      <c r="A806" t="s">
        <v>72</v>
      </c>
      <c r="B806" t="s">
        <v>8</v>
      </c>
      <c r="C806">
        <v>0</v>
      </c>
    </row>
    <row r="807" spans="1:3" x14ac:dyDescent="0.3">
      <c r="A807" t="s">
        <v>72</v>
      </c>
      <c r="B807" t="s">
        <v>9</v>
      </c>
      <c r="C807">
        <v>0</v>
      </c>
    </row>
    <row r="808" spans="1:3" x14ac:dyDescent="0.3">
      <c r="A808" t="s">
        <v>72</v>
      </c>
      <c r="B808" t="s">
        <v>10</v>
      </c>
      <c r="C808">
        <v>0</v>
      </c>
    </row>
    <row r="809" spans="1:3" x14ac:dyDescent="0.3">
      <c r="A809" t="s">
        <v>72</v>
      </c>
      <c r="B809" t="s">
        <v>11</v>
      </c>
      <c r="C809">
        <v>1</v>
      </c>
    </row>
    <row r="810" spans="1:3" x14ac:dyDescent="0.3">
      <c r="A810" t="s">
        <v>72</v>
      </c>
      <c r="B810" t="s">
        <v>12</v>
      </c>
      <c r="C810">
        <v>4</v>
      </c>
    </row>
    <row r="811" spans="1:3" x14ac:dyDescent="0.3">
      <c r="A811" t="s">
        <v>72</v>
      </c>
      <c r="B811" t="s">
        <v>13</v>
      </c>
      <c r="C811">
        <v>3</v>
      </c>
    </row>
    <row r="812" spans="1:3" x14ac:dyDescent="0.3">
      <c r="A812" t="s">
        <v>72</v>
      </c>
      <c r="B812" t="s">
        <v>14</v>
      </c>
      <c r="C812">
        <v>3</v>
      </c>
    </row>
    <row r="813" spans="1:3" x14ac:dyDescent="0.3">
      <c r="A813" t="s">
        <v>72</v>
      </c>
      <c r="B813" t="s">
        <v>15</v>
      </c>
      <c r="C813">
        <v>0</v>
      </c>
    </row>
    <row r="814" spans="1:3" x14ac:dyDescent="0.3">
      <c r="A814" t="s">
        <v>73</v>
      </c>
      <c r="B814" t="s">
        <v>2</v>
      </c>
      <c r="C814">
        <v>0</v>
      </c>
    </row>
    <row r="815" spans="1:3" x14ac:dyDescent="0.3">
      <c r="A815" t="s">
        <v>73</v>
      </c>
      <c r="B815" t="s">
        <v>3</v>
      </c>
      <c r="C815">
        <v>1</v>
      </c>
    </row>
    <row r="816" spans="1:3" x14ac:dyDescent="0.3">
      <c r="A816" t="s">
        <v>73</v>
      </c>
      <c r="B816" t="s">
        <v>4</v>
      </c>
      <c r="C816">
        <v>0</v>
      </c>
    </row>
    <row r="817" spans="1:3" x14ac:dyDescent="0.3">
      <c r="A817" t="s">
        <v>73</v>
      </c>
      <c r="B817" t="s">
        <v>5</v>
      </c>
      <c r="C817">
        <v>1</v>
      </c>
    </row>
    <row r="818" spans="1:3" x14ac:dyDescent="0.3">
      <c r="A818" t="s">
        <v>73</v>
      </c>
      <c r="B818" t="s">
        <v>6</v>
      </c>
      <c r="C818">
        <v>0</v>
      </c>
    </row>
    <row r="819" spans="1:3" x14ac:dyDescent="0.3">
      <c r="A819" t="s">
        <v>73</v>
      </c>
      <c r="B819" t="s">
        <v>7</v>
      </c>
      <c r="C819">
        <v>0</v>
      </c>
    </row>
    <row r="820" spans="1:3" x14ac:dyDescent="0.3">
      <c r="A820" t="s">
        <v>73</v>
      </c>
      <c r="B820" t="s">
        <v>8</v>
      </c>
      <c r="C820">
        <v>0</v>
      </c>
    </row>
    <row r="821" spans="1:3" x14ac:dyDescent="0.3">
      <c r="A821" t="s">
        <v>73</v>
      </c>
      <c r="B821" t="s">
        <v>9</v>
      </c>
      <c r="C821">
        <v>0</v>
      </c>
    </row>
    <row r="822" spans="1:3" x14ac:dyDescent="0.3">
      <c r="A822" t="s">
        <v>73</v>
      </c>
      <c r="B822" t="s">
        <v>10</v>
      </c>
      <c r="C822">
        <v>0</v>
      </c>
    </row>
    <row r="823" spans="1:3" x14ac:dyDescent="0.3">
      <c r="A823" t="s">
        <v>73</v>
      </c>
      <c r="B823" t="s">
        <v>11</v>
      </c>
      <c r="C823">
        <v>0</v>
      </c>
    </row>
    <row r="824" spans="1:3" x14ac:dyDescent="0.3">
      <c r="A824" t="s">
        <v>73</v>
      </c>
      <c r="B824" t="s">
        <v>12</v>
      </c>
      <c r="C824">
        <v>0</v>
      </c>
    </row>
    <row r="825" spans="1:3" x14ac:dyDescent="0.3">
      <c r="A825" t="s">
        <v>73</v>
      </c>
      <c r="B825" t="s">
        <v>13</v>
      </c>
      <c r="C825">
        <v>0</v>
      </c>
    </row>
    <row r="826" spans="1:3" x14ac:dyDescent="0.3">
      <c r="A826" t="s">
        <v>73</v>
      </c>
      <c r="B826" t="s">
        <v>14</v>
      </c>
      <c r="C826">
        <v>0</v>
      </c>
    </row>
    <row r="827" spans="1:3" x14ac:dyDescent="0.3">
      <c r="A827" t="s">
        <v>73</v>
      </c>
      <c r="B827" t="s">
        <v>15</v>
      </c>
      <c r="C827">
        <v>0</v>
      </c>
    </row>
  </sheetData>
  <pageMargins left="0.511811024" right="0.511811024" top="0.78740157499999996" bottom="0.78740157499999996" header="0.31496062000000002" footer="0.31496062000000002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72F5BE8-01A6-4EF2-A91D-CDB57AD43BC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Análise Graficos</vt:lpstr>
      <vt:lpstr>cv_sexo_15a64</vt:lpstr>
      <vt:lpstr>cv_regiao_15a64</vt:lpstr>
      <vt:lpstr>pop_regiao_taxa_15a64</vt:lpstr>
      <vt:lpstr>cv_raca_15a64</vt:lpstr>
      <vt:lpstr>cv_local_15a64</vt:lpstr>
      <vt:lpstr>cv_faixaetaria_sexo_15a64</vt:lpstr>
      <vt:lpstr>cv_faixaetaria_ano_15a64</vt:lpstr>
      <vt:lpstr>cv_total_15a64</vt:lpstr>
      <vt:lpstr>cv_cid_15a64 csv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Kaike Martins</dc:creator>
  <cp:lastModifiedBy>Kaike Martins</cp:lastModifiedBy>
  <dcterms:created xsi:type="dcterms:W3CDTF">2026-05-29T15:37:40Z</dcterms:created>
  <dcterms:modified xsi:type="dcterms:W3CDTF">2026-06-03T22:39:32Z</dcterms:modified>
</cp:coreProperties>
</file>